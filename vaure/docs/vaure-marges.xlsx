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ges" sheetId="1" state="visible" r:id="rId3"/>
  </sheets>
  <definedNames>
    <definedName function="false" hidden="true" localSheetId="0" name="_xlnm._FilterDatabase" vbProcedure="false">Marges!$A$11:$L$61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1" authorId="0">
      <text>
        <r>
          <rPr>
            <sz val="10"/>
            <rFont val="Arial"/>
            <family val="2"/>
          </rPr>
          <t xml:space="preserve">Prix total CJ en dollars (Total Dropshipping Price) : bijou + livraison jusqu'à la cliente. Source : coût enregistré par CJ sur chaque fiche Shopify.</t>
        </r>
      </text>
    </comment>
    <comment ref="D4" authorId="0">
      <text>
        <r>
          <rPr>
            <sz val="10"/>
            <rFont val="Arial"/>
            <family val="2"/>
          </rPr>
          <t xml:space="preserve">J'achète chez CJ en dollars. Taux BCE du 29 octobre 2026 (1 $ = 0,8985 €). Je le mets à jour de temps en temps.</t>
        </r>
      </text>
    </comment>
    <comment ref="D5" authorId="0">
      <text>
        <r>
          <rPr>
            <sz val="10"/>
            <rFont val="Arial"/>
            <family val="2"/>
          </rPr>
          <t xml:space="preserve">Estimation : beaucoup de banques prennent environ 2 % sur un paiement en dollars. Je mets le vrai chiffre de ma banque (0 % si ma carte n'en prend pas).</t>
        </r>
      </text>
    </comment>
    <comment ref="D6" authorId="0">
      <text>
        <r>
          <rPr>
            <sz val="10"/>
            <rFont val="Arial"/>
            <family val="2"/>
          </rPr>
          <t xml:space="preserve">Micro-entreprise, vente de marchandises : 12,3 % + 0,1 % CFP. Je le vérifie sur mon espace URSSAF (si je suis déclaré en services, le taux est plus haut).</t>
        </r>
      </text>
    </comment>
    <comment ref="D7" authorId="0">
      <text>
        <r>
          <rPr>
            <sz val="10"/>
            <rFont val="Arial"/>
            <family val="2"/>
          </rPr>
          <t xml:space="preserve">Estimation Shopify Payments, carte européenne.</t>
        </r>
      </text>
    </comment>
    <comment ref="D8" authorId="0">
      <text>
        <r>
          <rPr>
            <sz val="10"/>
            <rFont val="Arial"/>
            <family val="2"/>
          </rPr>
          <t xml:space="preserve">Estimation Shopify Payments.</t>
        </r>
      </text>
    </comment>
    <comment ref="D9" authorId="0">
      <text>
        <r>
          <rPr>
            <sz val="10"/>
            <rFont val="Arial"/>
            <family val="2"/>
          </rPr>
          <t xml:space="preserve">Les deux remises ne se cumulent pas.</t>
        </r>
      </text>
    </comment>
  </commentList>
</comments>
</file>

<file path=xl/sharedStrings.xml><?xml version="1.0" encoding="utf-8"?>
<sst xmlns="http://schemas.openxmlformats.org/spreadsheetml/2006/main" count="129" uniqueCount="86">
  <si>
    <t xml:space="preserve">VAURE – Mes prix d'achat, mes prix de vente et mes marges</t>
  </si>
  <si>
    <t xml:space="preserve">Je modifie seulement les cellules en bleu : tout le reste se recalcule tout seul.</t>
  </si>
  <si>
    <t xml:space="preserve">Mes hypothèses</t>
  </si>
  <si>
    <t xml:space="preserve">Taux de change : 1 $ =</t>
  </si>
  <si>
    <t xml:space="preserve">Frais de change de ma banque</t>
  </si>
  <si>
    <t xml:space="preserve">Cotisations URSSAF (vente de marchandises + formation pro.)</t>
  </si>
  <si>
    <t xml:space="preserve">Frais de paiement Shopify (%)</t>
  </si>
  <si>
    <t xml:space="preserve">Frais de paiement Shopify (fixe par commande)</t>
  </si>
  <si>
    <t xml:space="preserve">Remise maximale (code VAURE10 ou offre duo)</t>
  </si>
  <si>
    <t xml:space="preserve">Produit</t>
  </si>
  <si>
    <t xml:space="preserve">Catégorie</t>
  </si>
  <si>
    <t xml:space="preserve">Achat CJ livré ($)</t>
  </si>
  <si>
    <t xml:space="preserve">Achat CJ livré (€)</t>
  </si>
  <si>
    <t xml:space="preserve">Prix de vente (€)</t>
  </si>
  <si>
    <t xml:space="preserve">Marge brute (€)</t>
  </si>
  <si>
    <t xml:space="preserve">URSSAF (€)</t>
  </si>
  <si>
    <t xml:space="preserve">Frais de paiement (€)</t>
  </si>
  <si>
    <t xml:space="preserve">Marge nette (€)</t>
  </si>
  <si>
    <t xml:space="preserve">Marge nette %</t>
  </si>
  <si>
    <t xml:space="preserve">Prix avec −10 % (€)</t>
  </si>
  <si>
    <t xml:space="preserve">Marge nette avec −10 % (€)</t>
  </si>
  <si>
    <t xml:space="preserve">Bague Anneaux – Dorée</t>
  </si>
  <si>
    <t xml:space="preserve">Bagues</t>
  </si>
  <si>
    <t xml:space="preserve">Bague Chevalière Ovale – Argentée</t>
  </si>
  <si>
    <t xml:space="preserve">Bague Chevalière Ovale – Dorée</t>
  </si>
  <si>
    <t xml:space="preserve">Bague Double Vague – Argentée</t>
  </si>
  <si>
    <t xml:space="preserve">Bague Double Vague – Dorée</t>
  </si>
  <si>
    <t xml:space="preserve">Bague Maillons</t>
  </si>
  <si>
    <t xml:space="preserve">Bague Ovales – Argentée</t>
  </si>
  <si>
    <t xml:space="preserve">Bague Ovales – Dorée</t>
  </si>
  <si>
    <t xml:space="preserve">Bague Torsade – Argentée</t>
  </si>
  <si>
    <t xml:space="preserve">Bague Torsade – Dorée</t>
  </si>
  <si>
    <t xml:space="preserve">Bague Vague Fine – Argentée</t>
  </si>
  <si>
    <t xml:space="preserve">Bague Vague Fine – Dorée</t>
  </si>
  <si>
    <t xml:space="preserve">Bracelet Chaîne à Zircons</t>
  </si>
  <si>
    <t xml:space="preserve">Bracelets</t>
  </si>
  <si>
    <t xml:space="preserve">Bracelet Fin Étincelant</t>
  </si>
  <si>
    <t xml:space="preserve">Bracelet Fleur de Nacre</t>
  </si>
  <si>
    <t xml:space="preserve">Bracelet Fleur Réversible</t>
  </si>
  <si>
    <t xml:space="preserve">Bracelet Fleurs Ajourées – Blanche</t>
  </si>
  <si>
    <t xml:space="preserve">Bracelet Fleurs Ajourées – Dorée</t>
  </si>
  <si>
    <t xml:space="preserve">Bracelet Jonc Strié</t>
  </si>
  <si>
    <t xml:space="preserve">Bracelet Perles Dorées</t>
  </si>
  <si>
    <t xml:space="preserve">Bracelet Rivière</t>
  </si>
  <si>
    <t xml:space="preserve">Bracelet Tennis Navette</t>
  </si>
  <si>
    <t xml:space="preserve">Bracelet Tennis Ovales</t>
  </si>
  <si>
    <t xml:space="preserve">Bracelet Torsade Plate</t>
  </si>
  <si>
    <t xml:space="preserve">Chaîne Torsadée</t>
  </si>
  <si>
    <t xml:space="preserve">Colliers</t>
  </si>
  <si>
    <t xml:space="preserve">Collier Coquelicot</t>
  </si>
  <si>
    <t xml:space="preserve">Collier Double Rang Perles</t>
  </si>
  <si>
    <t xml:space="preserve">Collier Double Serpent</t>
  </si>
  <si>
    <t xml:space="preserve">Collier Fleur de Nacre</t>
  </si>
  <si>
    <t xml:space="preserve">Collier Lariat Double Rang</t>
  </si>
  <si>
    <t xml:space="preserve">Collier Lariat Zircons</t>
  </si>
  <si>
    <t xml:space="preserve">Collier Pendentif Navette</t>
  </si>
  <si>
    <t xml:space="preserve">Collier Perles Bleues</t>
  </si>
  <si>
    <t xml:space="preserve">Collier Serpent Plat – Argenté</t>
  </si>
  <si>
    <t xml:space="preserve">Collier Serpent Plat – Doré</t>
  </si>
  <si>
    <t xml:space="preserve">Collier Torsade Plate</t>
  </si>
  <si>
    <t xml:space="preserve">Collier Vague Zircons</t>
  </si>
  <si>
    <t xml:space="preserve">Puces Fleur de Nacre</t>
  </si>
  <si>
    <t xml:space="preserve">Boucles d'oreilles</t>
  </si>
  <si>
    <t xml:space="preserve">Trio de Créoles – Argenté</t>
  </si>
  <si>
    <t xml:space="preserve">Trio de Créoles – Doré</t>
  </si>
  <si>
    <t xml:space="preserve">Duo Fleur de Nacre</t>
  </si>
  <si>
    <t xml:space="preserve">Parures</t>
  </si>
  <si>
    <t xml:space="preserve">Parure Fleur de Nacre</t>
  </si>
  <si>
    <t xml:space="preserve">Pochette Demi-Lune – Noir</t>
  </si>
  <si>
    <t xml:space="preserve">Sacs</t>
  </si>
  <si>
    <t xml:space="preserve">Pochette Demi-Lune – Rouge vin</t>
  </si>
  <si>
    <t xml:space="preserve">Sac Demi-Lune Anse Sculptée – Noir</t>
  </si>
  <si>
    <t xml:space="preserve">Sac Demi-Lune Anse Sculptée – Rouge vin</t>
  </si>
  <si>
    <t xml:space="preserve">Ceinture Torsade – Beige</t>
  </si>
  <si>
    <t xml:space="preserve">Ceintures</t>
  </si>
  <si>
    <t xml:space="preserve">Ceinture Torsade – Bleu marine</t>
  </si>
  <si>
    <t xml:space="preserve">Ceinture Torsade – Chocolat</t>
  </si>
  <si>
    <t xml:space="preserve">Ceinture Torsade – Noir</t>
  </si>
  <si>
    <t xml:space="preserve">Moyenne</t>
  </si>
  <si>
    <t xml:space="preserve">Ma marge nette la plus basse</t>
  </si>
  <si>
    <t xml:space="preserve">À savoir</t>
  </si>
  <si>
    <t xml:space="preserve">Marge brute = prix de vente − achat CJ livré (converti en euros).</t>
  </si>
  <si>
    <t xml:space="preserve">Marge nette = ce qu'il me reste après URSSAF et frais de paiement (avant impôt sur le revenu et publicité).</t>
  </si>
  <si>
    <t xml:space="preserve">Je ne facture pas de TVA : je suis micro-entrepreneur en franchise de TVA (« TVA non applicable, art. 293 B du CGI »).</t>
  </si>
  <si>
    <t xml:space="preserve">J'achète chez CJ en dollars : le fichier convertit avec le taux de change et les frais de ma banque (en haut).</t>
  </si>
  <si>
    <t xml:space="preserve">Je n'ai pas inclus le Sac Besace (4 couleurs) : il est en brouillon, stock à 0.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</si>
</sst>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&quot; €&quot;"/>
    <numFmt numFmtId="166" formatCode="0.0%"/>
    <numFmt numFmtId="167" formatCode="#,##0.00&quot; €&quot;;\-#,##0.00&quot; €&quot;;\-"/>
    <numFmt numFmtId="168" formatCode="#,##0.00&quot; $&quot;;\-#,##0.00&quot; $&quot;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444444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51412"/>
        <bgColor rgb="FF000000"/>
      </patternFill>
    </fill>
    <fill>
      <patternFill patternType="solid">
        <fgColor rgb="FFEFE9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CF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5141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FC2"/>
      <rgbColor rgb="FF808080"/>
      <rgbColor rgb="FF9999FF"/>
      <rgbColor rgb="FF993366"/>
      <rgbColor rgb="FFEFE9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51412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6" min="3" style="0" width="14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1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D4" s="5" t="n">
        <v>0.8985</v>
      </c>
    </row>
    <row r="5" customFormat="false" ht="15" hidden="false" customHeight="false" outlineLevel="0" collapsed="false">
      <c r="A5" s="4" t="s">
        <v>4</v>
      </c>
      <c r="D5" s="6" t="n">
        <v>0.02</v>
      </c>
    </row>
    <row r="6" customFormat="false" ht="15" hidden="false" customHeight="false" outlineLevel="0" collapsed="false">
      <c r="A6" s="4" t="s">
        <v>5</v>
      </c>
      <c r="D6" s="6" t="n">
        <v>0.124</v>
      </c>
    </row>
    <row r="7" customFormat="false" ht="15" hidden="false" customHeight="false" outlineLevel="0" collapsed="false">
      <c r="A7" s="4" t="s">
        <v>6</v>
      </c>
      <c r="D7" s="6" t="n">
        <v>0.015</v>
      </c>
    </row>
    <row r="8" customFormat="false" ht="15" hidden="false" customHeight="false" outlineLevel="0" collapsed="false">
      <c r="A8" s="4" t="s">
        <v>7</v>
      </c>
      <c r="D8" s="7" t="n">
        <v>0.25</v>
      </c>
    </row>
    <row r="9" customFormat="false" ht="15" hidden="false" customHeight="false" outlineLevel="0" collapsed="false">
      <c r="A9" s="4" t="s">
        <v>8</v>
      </c>
      <c r="D9" s="6" t="n">
        <v>0.1</v>
      </c>
    </row>
    <row r="11" customFormat="false" ht="33.75" hidden="false" customHeight="true" outlineLevel="0" collapsed="false">
      <c r="A11" s="8" t="s">
        <v>9</v>
      </c>
      <c r="B11" s="8" t="s">
        <v>10</v>
      </c>
      <c r="C11" s="8" t="s">
        <v>11</v>
      </c>
      <c r="D11" s="8" t="s">
        <v>12</v>
      </c>
      <c r="E11" s="8" t="s">
        <v>13</v>
      </c>
      <c r="F11" s="8" t="s">
        <v>14</v>
      </c>
      <c r="G11" s="8" t="s">
        <v>15</v>
      </c>
      <c r="H11" s="8" t="s">
        <v>16</v>
      </c>
      <c r="I11" s="8" t="s">
        <v>17</v>
      </c>
      <c r="J11" s="8" t="s">
        <v>18</v>
      </c>
      <c r="K11" s="8" t="s">
        <v>19</v>
      </c>
      <c r="L11" s="8" t="s">
        <v>20</v>
      </c>
    </row>
    <row r="12" customFormat="false" ht="15" hidden="false" customHeight="false" outlineLevel="0" collapsed="false">
      <c r="A12" s="9" t="s">
        <v>21</v>
      </c>
      <c r="B12" s="9" t="s">
        <v>22</v>
      </c>
      <c r="C12" s="10" t="n">
        <v>4.32</v>
      </c>
      <c r="D12" s="11" t="n">
        <f aca="false">C12*$D$4*(1+$D$5)</f>
        <v>3.9591504</v>
      </c>
      <c r="E12" s="12" t="n">
        <v>23.9</v>
      </c>
      <c r="F12" s="11" t="n">
        <f aca="false">E12-D12</f>
        <v>19.9408496</v>
      </c>
      <c r="G12" s="11" t="n">
        <f aca="false">E12*$D$6</f>
        <v>2.9636</v>
      </c>
      <c r="H12" s="11" t="n">
        <f aca="false">E12*$D$7+$D$8</f>
        <v>0.6085</v>
      </c>
      <c r="I12" s="13" t="n">
        <f aca="false">E12-D12-G12-H12</f>
        <v>16.3687496</v>
      </c>
      <c r="J12" s="14" t="n">
        <f aca="false">IF(E12=0,0,I12/E12)</f>
        <v>0.684884920502092</v>
      </c>
      <c r="K12" s="11" t="n">
        <f aca="false">E12*(1-$D$9)</f>
        <v>21.51</v>
      </c>
      <c r="L12" s="11" t="n">
        <f aca="false">K12-D12-K12*$D$6-(K12*$D$7+$D$8)</f>
        <v>14.3109596</v>
      </c>
    </row>
    <row r="13" customFormat="false" ht="15" hidden="false" customHeight="false" outlineLevel="0" collapsed="false">
      <c r="A13" s="9" t="s">
        <v>23</v>
      </c>
      <c r="B13" s="9" t="s">
        <v>22</v>
      </c>
      <c r="C13" s="10" t="n">
        <v>4.3</v>
      </c>
      <c r="D13" s="11" t="n">
        <f aca="false">C13*$D$4*(1+$D$5)</f>
        <v>3.940821</v>
      </c>
      <c r="E13" s="12" t="n">
        <v>23.9</v>
      </c>
      <c r="F13" s="11" t="n">
        <f aca="false">E13-D13</f>
        <v>19.959179</v>
      </c>
      <c r="G13" s="11" t="n">
        <f aca="false">E13*$D$6</f>
        <v>2.9636</v>
      </c>
      <c r="H13" s="11" t="n">
        <f aca="false">E13*$D$7+$D$8</f>
        <v>0.6085</v>
      </c>
      <c r="I13" s="13" t="n">
        <f aca="false">E13-D13-G13-H13</f>
        <v>16.387079</v>
      </c>
      <c r="J13" s="14" t="n">
        <f aca="false">IF(E13=0,0,I13/E13)</f>
        <v>0.685651841004184</v>
      </c>
      <c r="K13" s="11" t="n">
        <f aca="false">E13*(1-$D$9)</f>
        <v>21.51</v>
      </c>
      <c r="L13" s="11" t="n">
        <f aca="false">K13-D13-K13*$D$6-(K13*$D$7+$D$8)</f>
        <v>14.329289</v>
      </c>
    </row>
    <row r="14" customFormat="false" ht="15" hidden="false" customHeight="false" outlineLevel="0" collapsed="false">
      <c r="A14" s="9" t="s">
        <v>24</v>
      </c>
      <c r="B14" s="9" t="s">
        <v>22</v>
      </c>
      <c r="C14" s="10" t="n">
        <v>4.4</v>
      </c>
      <c r="D14" s="11" t="n">
        <f aca="false">C14*$D$4*(1+$D$5)</f>
        <v>4.032468</v>
      </c>
      <c r="E14" s="12" t="n">
        <v>23.9</v>
      </c>
      <c r="F14" s="11" t="n">
        <f aca="false">E14-D14</f>
        <v>19.867532</v>
      </c>
      <c r="G14" s="11" t="n">
        <f aca="false">E14*$D$6</f>
        <v>2.9636</v>
      </c>
      <c r="H14" s="11" t="n">
        <f aca="false">E14*$D$7+$D$8</f>
        <v>0.6085</v>
      </c>
      <c r="I14" s="13" t="n">
        <f aca="false">E14-D14-G14-H14</f>
        <v>16.295432</v>
      </c>
      <c r="J14" s="14" t="n">
        <f aca="false">IF(E14=0,0,I14/E14)</f>
        <v>0.681817238493724</v>
      </c>
      <c r="K14" s="11" t="n">
        <f aca="false">E14*(1-$D$9)</f>
        <v>21.51</v>
      </c>
      <c r="L14" s="11" t="n">
        <f aca="false">K14-D14-K14*$D$6-(K14*$D$7+$D$8)</f>
        <v>14.237642</v>
      </c>
    </row>
    <row r="15" customFormat="false" ht="15" hidden="false" customHeight="false" outlineLevel="0" collapsed="false">
      <c r="A15" s="9" t="s">
        <v>25</v>
      </c>
      <c r="B15" s="9" t="s">
        <v>22</v>
      </c>
      <c r="C15" s="10" t="n">
        <v>4.21</v>
      </c>
      <c r="D15" s="11" t="n">
        <f aca="false">C15*$D$4*(1+$D$5)</f>
        <v>3.8583387</v>
      </c>
      <c r="E15" s="12" t="n">
        <v>23.9</v>
      </c>
      <c r="F15" s="11" t="n">
        <f aca="false">E15-D15</f>
        <v>20.0416613</v>
      </c>
      <c r="G15" s="11" t="n">
        <f aca="false">E15*$D$6</f>
        <v>2.9636</v>
      </c>
      <c r="H15" s="11" t="n">
        <f aca="false">E15*$D$7+$D$8</f>
        <v>0.6085</v>
      </c>
      <c r="I15" s="13" t="n">
        <f aca="false">E15-D15-G15-H15</f>
        <v>16.4695613</v>
      </c>
      <c r="J15" s="14" t="n">
        <f aca="false">IF(E15=0,0,I15/E15)</f>
        <v>0.689102983263598</v>
      </c>
      <c r="K15" s="11" t="n">
        <f aca="false">E15*(1-$D$9)</f>
        <v>21.51</v>
      </c>
      <c r="L15" s="11" t="n">
        <f aca="false">K15-D15-K15*$D$6-(K15*$D$7+$D$8)</f>
        <v>14.4117713</v>
      </c>
    </row>
    <row r="16" customFormat="false" ht="15" hidden="false" customHeight="false" outlineLevel="0" collapsed="false">
      <c r="A16" s="9" t="s">
        <v>26</v>
      </c>
      <c r="B16" s="9" t="s">
        <v>22</v>
      </c>
      <c r="C16" s="10" t="n">
        <v>4.34</v>
      </c>
      <c r="D16" s="11" t="n">
        <f aca="false">C16*$D$4*(1+$D$5)</f>
        <v>3.9774798</v>
      </c>
      <c r="E16" s="12" t="n">
        <v>23.9</v>
      </c>
      <c r="F16" s="11" t="n">
        <f aca="false">E16-D16</f>
        <v>19.9225202</v>
      </c>
      <c r="G16" s="11" t="n">
        <f aca="false">E16*$D$6</f>
        <v>2.9636</v>
      </c>
      <c r="H16" s="11" t="n">
        <f aca="false">E16*$D$7+$D$8</f>
        <v>0.6085</v>
      </c>
      <c r="I16" s="13" t="n">
        <f aca="false">E16-D16-G16-H16</f>
        <v>16.3504202</v>
      </c>
      <c r="J16" s="14" t="n">
        <f aca="false">IF(E16=0,0,I16/E16)</f>
        <v>0.684118</v>
      </c>
      <c r="K16" s="11" t="n">
        <f aca="false">E16*(1-$D$9)</f>
        <v>21.51</v>
      </c>
      <c r="L16" s="11" t="n">
        <f aca="false">K16-D16-K16*$D$6-(K16*$D$7+$D$8)</f>
        <v>14.2926302</v>
      </c>
    </row>
    <row r="17" customFormat="false" ht="15" hidden="false" customHeight="false" outlineLevel="0" collapsed="false">
      <c r="A17" s="9" t="s">
        <v>27</v>
      </c>
      <c r="B17" s="9" t="s">
        <v>22</v>
      </c>
      <c r="C17" s="10" t="n">
        <v>5.61</v>
      </c>
      <c r="D17" s="11" t="n">
        <f aca="false">C17*$D$4*(1+$D$5)</f>
        <v>5.1413967</v>
      </c>
      <c r="E17" s="12" t="n">
        <v>23.9</v>
      </c>
      <c r="F17" s="11" t="n">
        <f aca="false">E17-D17</f>
        <v>18.7586033</v>
      </c>
      <c r="G17" s="11" t="n">
        <f aca="false">E17*$D$6</f>
        <v>2.9636</v>
      </c>
      <c r="H17" s="11" t="n">
        <f aca="false">E17*$D$7+$D$8</f>
        <v>0.6085</v>
      </c>
      <c r="I17" s="13" t="n">
        <f aca="false">E17-D17-G17-H17</f>
        <v>15.1865033</v>
      </c>
      <c r="J17" s="14" t="n">
        <f aca="false">IF(E17=0,0,I17/E17)</f>
        <v>0.635418548117155</v>
      </c>
      <c r="K17" s="11" t="n">
        <f aca="false">E17*(1-$D$9)</f>
        <v>21.51</v>
      </c>
      <c r="L17" s="11" t="n">
        <f aca="false">K17-D17-K17*$D$6-(K17*$D$7+$D$8)</f>
        <v>13.1287133</v>
      </c>
    </row>
    <row r="18" customFormat="false" ht="15" hidden="false" customHeight="false" outlineLevel="0" collapsed="false">
      <c r="A18" s="9" t="s">
        <v>28</v>
      </c>
      <c r="B18" s="9" t="s">
        <v>22</v>
      </c>
      <c r="C18" s="10" t="n">
        <v>4.15</v>
      </c>
      <c r="D18" s="11" t="n">
        <f aca="false">C18*$D$4*(1+$D$5)</f>
        <v>3.8033505</v>
      </c>
      <c r="E18" s="12" t="n">
        <v>23.9</v>
      </c>
      <c r="F18" s="11" t="n">
        <f aca="false">E18-D18</f>
        <v>20.0966495</v>
      </c>
      <c r="G18" s="11" t="n">
        <f aca="false">E18*$D$6</f>
        <v>2.9636</v>
      </c>
      <c r="H18" s="11" t="n">
        <f aca="false">E18*$D$7+$D$8</f>
        <v>0.6085</v>
      </c>
      <c r="I18" s="13" t="n">
        <f aca="false">E18-D18-G18-H18</f>
        <v>16.5245495</v>
      </c>
      <c r="J18" s="14" t="n">
        <f aca="false">IF(E18=0,0,I18/E18)</f>
        <v>0.691403744769874</v>
      </c>
      <c r="K18" s="11" t="n">
        <f aca="false">E18*(1-$D$9)</f>
        <v>21.51</v>
      </c>
      <c r="L18" s="11" t="n">
        <f aca="false">K18-D18-K18*$D$6-(K18*$D$7+$D$8)</f>
        <v>14.4667595</v>
      </c>
    </row>
    <row r="19" customFormat="false" ht="15" hidden="false" customHeight="false" outlineLevel="0" collapsed="false">
      <c r="A19" s="9" t="s">
        <v>29</v>
      </c>
      <c r="B19" s="9" t="s">
        <v>22</v>
      </c>
      <c r="C19" s="10" t="n">
        <v>4.18</v>
      </c>
      <c r="D19" s="11" t="n">
        <f aca="false">C19*$D$4*(1+$D$5)</f>
        <v>3.8308446</v>
      </c>
      <c r="E19" s="12" t="n">
        <v>23.9</v>
      </c>
      <c r="F19" s="11" t="n">
        <f aca="false">E19-D19</f>
        <v>20.0691554</v>
      </c>
      <c r="G19" s="11" t="n">
        <f aca="false">E19*$D$6</f>
        <v>2.9636</v>
      </c>
      <c r="H19" s="11" t="n">
        <f aca="false">E19*$D$7+$D$8</f>
        <v>0.6085</v>
      </c>
      <c r="I19" s="13" t="n">
        <f aca="false">E19-D19-G19-H19</f>
        <v>16.4970554</v>
      </c>
      <c r="J19" s="14" t="n">
        <f aca="false">IF(E19=0,0,I19/E19)</f>
        <v>0.690253364016736</v>
      </c>
      <c r="K19" s="11" t="n">
        <f aca="false">E19*(1-$D$9)</f>
        <v>21.51</v>
      </c>
      <c r="L19" s="11" t="n">
        <f aca="false">K19-D19-K19*$D$6-(K19*$D$7+$D$8)</f>
        <v>14.4392654</v>
      </c>
    </row>
    <row r="20" customFormat="false" ht="15" hidden="false" customHeight="false" outlineLevel="0" collapsed="false">
      <c r="A20" s="9" t="s">
        <v>30</v>
      </c>
      <c r="B20" s="9" t="s">
        <v>22</v>
      </c>
      <c r="C20" s="10" t="n">
        <v>4.27</v>
      </c>
      <c r="D20" s="11" t="n">
        <f aca="false">C20*$D$4*(1+$D$5)</f>
        <v>3.9133269</v>
      </c>
      <c r="E20" s="12" t="n">
        <v>23.9</v>
      </c>
      <c r="F20" s="11" t="n">
        <f aca="false">E20-D20</f>
        <v>19.9866731</v>
      </c>
      <c r="G20" s="11" t="n">
        <f aca="false">E20*$D$6</f>
        <v>2.9636</v>
      </c>
      <c r="H20" s="11" t="n">
        <f aca="false">E20*$D$7+$D$8</f>
        <v>0.6085</v>
      </c>
      <c r="I20" s="13" t="n">
        <f aca="false">E20-D20-G20-H20</f>
        <v>16.4145731</v>
      </c>
      <c r="J20" s="14" t="n">
        <f aca="false">IF(E20=0,0,I20/E20)</f>
        <v>0.686802221757322</v>
      </c>
      <c r="K20" s="11" t="n">
        <f aca="false">E20*(1-$D$9)</f>
        <v>21.51</v>
      </c>
      <c r="L20" s="11" t="n">
        <f aca="false">K20-D20-K20*$D$6-(K20*$D$7+$D$8)</f>
        <v>14.3567831</v>
      </c>
    </row>
    <row r="21" customFormat="false" ht="15" hidden="false" customHeight="false" outlineLevel="0" collapsed="false">
      <c r="A21" s="9" t="s">
        <v>31</v>
      </c>
      <c r="B21" s="9" t="s">
        <v>22</v>
      </c>
      <c r="C21" s="10" t="n">
        <v>4.31</v>
      </c>
      <c r="D21" s="11" t="n">
        <f aca="false">C21*$D$4*(1+$D$5)</f>
        <v>3.9499857</v>
      </c>
      <c r="E21" s="12" t="n">
        <v>23.9</v>
      </c>
      <c r="F21" s="11" t="n">
        <f aca="false">E21-D21</f>
        <v>19.9500143</v>
      </c>
      <c r="G21" s="11" t="n">
        <f aca="false">E21*$D$6</f>
        <v>2.9636</v>
      </c>
      <c r="H21" s="11" t="n">
        <f aca="false">E21*$D$7+$D$8</f>
        <v>0.6085</v>
      </c>
      <c r="I21" s="13" t="n">
        <f aca="false">E21-D21-G21-H21</f>
        <v>16.3779143</v>
      </c>
      <c r="J21" s="14" t="n">
        <f aca="false">IF(E21=0,0,I21/E21)</f>
        <v>0.685268380753138</v>
      </c>
      <c r="K21" s="11" t="n">
        <f aca="false">E21*(1-$D$9)</f>
        <v>21.51</v>
      </c>
      <c r="L21" s="11" t="n">
        <f aca="false">K21-D21-K21*$D$6-(K21*$D$7+$D$8)</f>
        <v>14.3201243</v>
      </c>
    </row>
    <row r="22" customFormat="false" ht="15" hidden="false" customHeight="false" outlineLevel="0" collapsed="false">
      <c r="A22" s="9" t="s">
        <v>32</v>
      </c>
      <c r="B22" s="9" t="s">
        <v>22</v>
      </c>
      <c r="C22" s="10" t="n">
        <v>4.21</v>
      </c>
      <c r="D22" s="11" t="n">
        <f aca="false">C22*$D$4*(1+$D$5)</f>
        <v>3.8583387</v>
      </c>
      <c r="E22" s="12" t="n">
        <v>23.9</v>
      </c>
      <c r="F22" s="11" t="n">
        <f aca="false">E22-D22</f>
        <v>20.0416613</v>
      </c>
      <c r="G22" s="11" t="n">
        <f aca="false">E22*$D$6</f>
        <v>2.9636</v>
      </c>
      <c r="H22" s="11" t="n">
        <f aca="false">E22*$D$7+$D$8</f>
        <v>0.6085</v>
      </c>
      <c r="I22" s="13" t="n">
        <f aca="false">E22-D22-G22-H22</f>
        <v>16.4695613</v>
      </c>
      <c r="J22" s="14" t="n">
        <f aca="false">IF(E22=0,0,I22/E22)</f>
        <v>0.689102983263598</v>
      </c>
      <c r="K22" s="11" t="n">
        <f aca="false">E22*(1-$D$9)</f>
        <v>21.51</v>
      </c>
      <c r="L22" s="11" t="n">
        <f aca="false">K22-D22-K22*$D$6-(K22*$D$7+$D$8)</f>
        <v>14.4117713</v>
      </c>
    </row>
    <row r="23" customFormat="false" ht="15" hidden="false" customHeight="false" outlineLevel="0" collapsed="false">
      <c r="A23" s="9" t="s">
        <v>33</v>
      </c>
      <c r="B23" s="9" t="s">
        <v>22</v>
      </c>
      <c r="C23" s="10" t="n">
        <v>4.29</v>
      </c>
      <c r="D23" s="11" t="n">
        <f aca="false">C23*$D$4*(1+$D$5)</f>
        <v>3.9316563</v>
      </c>
      <c r="E23" s="12" t="n">
        <v>23.9</v>
      </c>
      <c r="F23" s="11" t="n">
        <f aca="false">E23-D23</f>
        <v>19.9683437</v>
      </c>
      <c r="G23" s="11" t="n">
        <f aca="false">E23*$D$6</f>
        <v>2.9636</v>
      </c>
      <c r="H23" s="11" t="n">
        <f aca="false">E23*$D$7+$D$8</f>
        <v>0.6085</v>
      </c>
      <c r="I23" s="13" t="n">
        <f aca="false">E23-D23-G23-H23</f>
        <v>16.3962437</v>
      </c>
      <c r="J23" s="14" t="n">
        <f aca="false">IF(E23=0,0,I23/E23)</f>
        <v>0.68603530125523</v>
      </c>
      <c r="K23" s="11" t="n">
        <f aca="false">E23*(1-$D$9)</f>
        <v>21.51</v>
      </c>
      <c r="L23" s="11" t="n">
        <f aca="false">K23-D23-K23*$D$6-(K23*$D$7+$D$8)</f>
        <v>14.3384537</v>
      </c>
    </row>
    <row r="24" customFormat="false" ht="15" hidden="false" customHeight="false" outlineLevel="0" collapsed="false">
      <c r="A24" s="9" t="s">
        <v>34</v>
      </c>
      <c r="B24" s="9" t="s">
        <v>35</v>
      </c>
      <c r="C24" s="10" t="n">
        <v>5.48</v>
      </c>
      <c r="D24" s="11" t="n">
        <f aca="false">C24*$D$4*(1+$D$5)</f>
        <v>5.0222556</v>
      </c>
      <c r="E24" s="12" t="n">
        <v>23.9</v>
      </c>
      <c r="F24" s="11" t="n">
        <f aca="false">E24-D24</f>
        <v>18.8777444</v>
      </c>
      <c r="G24" s="11" t="n">
        <f aca="false">E24*$D$6</f>
        <v>2.9636</v>
      </c>
      <c r="H24" s="11" t="n">
        <f aca="false">E24*$D$7+$D$8</f>
        <v>0.6085</v>
      </c>
      <c r="I24" s="13" t="n">
        <f aca="false">E24-D24-G24-H24</f>
        <v>15.3056444</v>
      </c>
      <c r="J24" s="14" t="n">
        <f aca="false">IF(E24=0,0,I24/E24)</f>
        <v>0.640403531380753</v>
      </c>
      <c r="K24" s="11" t="n">
        <f aca="false">E24*(1-$D$9)</f>
        <v>21.51</v>
      </c>
      <c r="L24" s="11" t="n">
        <f aca="false">K24-D24-K24*$D$6-(K24*$D$7+$D$8)</f>
        <v>13.2478544</v>
      </c>
    </row>
    <row r="25" customFormat="false" ht="15" hidden="false" customHeight="false" outlineLevel="0" collapsed="false">
      <c r="A25" s="9" t="s">
        <v>36</v>
      </c>
      <c r="B25" s="9" t="s">
        <v>35</v>
      </c>
      <c r="C25" s="10" t="n">
        <v>4.25</v>
      </c>
      <c r="D25" s="11" t="n">
        <f aca="false">C25*$D$4*(1+$D$5)</f>
        <v>3.8949975</v>
      </c>
      <c r="E25" s="12" t="n">
        <v>23.9</v>
      </c>
      <c r="F25" s="11" t="n">
        <f aca="false">E25-D25</f>
        <v>20.0050025</v>
      </c>
      <c r="G25" s="11" t="n">
        <f aca="false">E25*$D$6</f>
        <v>2.9636</v>
      </c>
      <c r="H25" s="11" t="n">
        <f aca="false">E25*$D$7+$D$8</f>
        <v>0.6085</v>
      </c>
      <c r="I25" s="13" t="n">
        <f aca="false">E25-D25-G25-H25</f>
        <v>16.4329025</v>
      </c>
      <c r="J25" s="14" t="n">
        <f aca="false">IF(E25=0,0,I25/E25)</f>
        <v>0.687569142259414</v>
      </c>
      <c r="K25" s="11" t="n">
        <f aca="false">E25*(1-$D$9)</f>
        <v>21.51</v>
      </c>
      <c r="L25" s="11" t="n">
        <f aca="false">K25-D25-K25*$D$6-(K25*$D$7+$D$8)</f>
        <v>14.3751125</v>
      </c>
    </row>
    <row r="26" customFormat="false" ht="15" hidden="false" customHeight="false" outlineLevel="0" collapsed="false">
      <c r="A26" s="9" t="s">
        <v>37</v>
      </c>
      <c r="B26" s="9" t="s">
        <v>35</v>
      </c>
      <c r="C26" s="10" t="n">
        <v>4.72</v>
      </c>
      <c r="D26" s="11" t="n">
        <f aca="false">C26*$D$4*(1+$D$5)</f>
        <v>4.3257384</v>
      </c>
      <c r="E26" s="12" t="n">
        <v>27.9</v>
      </c>
      <c r="F26" s="11" t="n">
        <f aca="false">E26-D26</f>
        <v>23.5742616</v>
      </c>
      <c r="G26" s="11" t="n">
        <f aca="false">E26*$D$6</f>
        <v>3.4596</v>
      </c>
      <c r="H26" s="11" t="n">
        <f aca="false">E26*$D$7+$D$8</f>
        <v>0.6685</v>
      </c>
      <c r="I26" s="13" t="n">
        <f aca="false">E26-D26-G26-H26</f>
        <v>19.4461616</v>
      </c>
      <c r="J26" s="14" t="n">
        <f aca="false">IF(E26=0,0,I26/E26)</f>
        <v>0.696995039426523</v>
      </c>
      <c r="K26" s="11" t="n">
        <f aca="false">E26*(1-$D$9)</f>
        <v>25.11</v>
      </c>
      <c r="L26" s="11" t="n">
        <f aca="false">K26-D26-K26*$D$6-(K26*$D$7+$D$8)</f>
        <v>17.0439716</v>
      </c>
    </row>
    <row r="27" customFormat="false" ht="15" hidden="false" customHeight="false" outlineLevel="0" collapsed="false">
      <c r="A27" s="9" t="s">
        <v>38</v>
      </c>
      <c r="B27" s="9" t="s">
        <v>35</v>
      </c>
      <c r="C27" s="10" t="n">
        <v>4.58</v>
      </c>
      <c r="D27" s="11" t="n">
        <f aca="false">C27*$D$4*(1+$D$5)</f>
        <v>4.1974326</v>
      </c>
      <c r="E27" s="12" t="n">
        <v>27.9</v>
      </c>
      <c r="F27" s="11" t="n">
        <f aca="false">E27-D27</f>
        <v>23.7025674</v>
      </c>
      <c r="G27" s="11" t="n">
        <f aca="false">E27*$D$6</f>
        <v>3.4596</v>
      </c>
      <c r="H27" s="11" t="n">
        <f aca="false">E27*$D$7+$D$8</f>
        <v>0.6685</v>
      </c>
      <c r="I27" s="13" t="n">
        <f aca="false">E27-D27-G27-H27</f>
        <v>19.5744674</v>
      </c>
      <c r="J27" s="14" t="n">
        <f aca="false">IF(E27=0,0,I27/E27)</f>
        <v>0.701593813620072</v>
      </c>
      <c r="K27" s="11" t="n">
        <f aca="false">E27*(1-$D$9)</f>
        <v>25.11</v>
      </c>
      <c r="L27" s="11" t="n">
        <f aca="false">K27-D27-K27*$D$6-(K27*$D$7+$D$8)</f>
        <v>17.1722774</v>
      </c>
    </row>
    <row r="28" customFormat="false" ht="15" hidden="false" customHeight="false" outlineLevel="0" collapsed="false">
      <c r="A28" s="9" t="s">
        <v>39</v>
      </c>
      <c r="B28" s="9" t="s">
        <v>35</v>
      </c>
      <c r="C28" s="10" t="n">
        <v>5.17</v>
      </c>
      <c r="D28" s="11" t="n">
        <f aca="false">C28*$D$4*(1+$D$5)</f>
        <v>4.7381499</v>
      </c>
      <c r="E28" s="12" t="n">
        <v>27.9</v>
      </c>
      <c r="F28" s="11" t="n">
        <f aca="false">E28-D28</f>
        <v>23.1618501</v>
      </c>
      <c r="G28" s="11" t="n">
        <f aca="false">E28*$D$6</f>
        <v>3.4596</v>
      </c>
      <c r="H28" s="11" t="n">
        <f aca="false">E28*$D$7+$D$8</f>
        <v>0.6685</v>
      </c>
      <c r="I28" s="13" t="n">
        <f aca="false">E28-D28-G28-H28</f>
        <v>19.0337501</v>
      </c>
      <c r="J28" s="14" t="n">
        <f aca="false">IF(E28=0,0,I28/E28)</f>
        <v>0.682213265232975</v>
      </c>
      <c r="K28" s="11" t="n">
        <f aca="false">E28*(1-$D$9)</f>
        <v>25.11</v>
      </c>
      <c r="L28" s="11" t="n">
        <f aca="false">K28-D28-K28*$D$6-(K28*$D$7+$D$8)</f>
        <v>16.6315601</v>
      </c>
    </row>
    <row r="29" customFormat="false" ht="15" hidden="false" customHeight="false" outlineLevel="0" collapsed="false">
      <c r="A29" s="9" t="s">
        <v>40</v>
      </c>
      <c r="B29" s="9" t="s">
        <v>35</v>
      </c>
      <c r="C29" s="10" t="n">
        <v>5.17</v>
      </c>
      <c r="D29" s="11" t="n">
        <f aca="false">C29*$D$4*(1+$D$5)</f>
        <v>4.7381499</v>
      </c>
      <c r="E29" s="12" t="n">
        <v>24.9</v>
      </c>
      <c r="F29" s="11" t="n">
        <f aca="false">E29-D29</f>
        <v>20.1618501</v>
      </c>
      <c r="G29" s="11" t="n">
        <f aca="false">E29*$D$6</f>
        <v>3.0876</v>
      </c>
      <c r="H29" s="11" t="n">
        <f aca="false">E29*$D$7+$D$8</f>
        <v>0.6235</v>
      </c>
      <c r="I29" s="13" t="n">
        <f aca="false">E29-D29-G29-H29</f>
        <v>16.4507501</v>
      </c>
      <c r="J29" s="14" t="n">
        <f aca="false">IF(E29=0,0,I29/E29)</f>
        <v>0.660672694779117</v>
      </c>
      <c r="K29" s="11" t="n">
        <f aca="false">E29*(1-$D$9)</f>
        <v>22.41</v>
      </c>
      <c r="L29" s="11" t="n">
        <f aca="false">K29-D29-K29*$D$6-(K29*$D$7+$D$8)</f>
        <v>14.3068601</v>
      </c>
    </row>
    <row r="30" customFormat="false" ht="15" hidden="false" customHeight="false" outlineLevel="0" collapsed="false">
      <c r="A30" s="9" t="s">
        <v>41</v>
      </c>
      <c r="B30" s="9" t="s">
        <v>35</v>
      </c>
      <c r="C30" s="10" t="n">
        <v>5.94</v>
      </c>
      <c r="D30" s="11" t="n">
        <f aca="false">C30*$D$4*(1+$D$5)</f>
        <v>5.4438318</v>
      </c>
      <c r="E30" s="12" t="n">
        <v>27.9</v>
      </c>
      <c r="F30" s="11" t="n">
        <f aca="false">E30-D30</f>
        <v>22.4561682</v>
      </c>
      <c r="G30" s="11" t="n">
        <f aca="false">E30*$D$6</f>
        <v>3.4596</v>
      </c>
      <c r="H30" s="11" t="n">
        <f aca="false">E30*$D$7+$D$8</f>
        <v>0.6685</v>
      </c>
      <c r="I30" s="13" t="n">
        <f aca="false">E30-D30-G30-H30</f>
        <v>18.3280682</v>
      </c>
      <c r="J30" s="14" t="n">
        <f aca="false">IF(E30=0,0,I30/E30)</f>
        <v>0.656920007168459</v>
      </c>
      <c r="K30" s="11" t="n">
        <f aca="false">E30*(1-$D$9)</f>
        <v>25.11</v>
      </c>
      <c r="L30" s="11" t="n">
        <f aca="false">K30-D30-K30*$D$6-(K30*$D$7+$D$8)</f>
        <v>15.9258782</v>
      </c>
    </row>
    <row r="31" customFormat="false" ht="15" hidden="false" customHeight="false" outlineLevel="0" collapsed="false">
      <c r="A31" s="9" t="s">
        <v>42</v>
      </c>
      <c r="B31" s="9" t="s">
        <v>35</v>
      </c>
      <c r="C31" s="10" t="n">
        <v>5.66</v>
      </c>
      <c r="D31" s="11" t="n">
        <f aca="false">C31*$D$4*(1+$D$5)</f>
        <v>5.1872202</v>
      </c>
      <c r="E31" s="12" t="n">
        <v>23.9</v>
      </c>
      <c r="F31" s="11" t="n">
        <f aca="false">E31-D31</f>
        <v>18.7127798</v>
      </c>
      <c r="G31" s="11" t="n">
        <f aca="false">E31*$D$6</f>
        <v>2.9636</v>
      </c>
      <c r="H31" s="11" t="n">
        <f aca="false">E31*$D$7+$D$8</f>
        <v>0.6085</v>
      </c>
      <c r="I31" s="13" t="n">
        <f aca="false">E31-D31-G31-H31</f>
        <v>15.1406798</v>
      </c>
      <c r="J31" s="14" t="n">
        <f aca="false">IF(E31=0,0,I31/E31)</f>
        <v>0.633501246861925</v>
      </c>
      <c r="K31" s="11" t="n">
        <f aca="false">E31*(1-$D$9)</f>
        <v>21.51</v>
      </c>
      <c r="L31" s="11" t="n">
        <f aca="false">K31-D31-K31*$D$6-(K31*$D$7+$D$8)</f>
        <v>13.0828898</v>
      </c>
    </row>
    <row r="32" customFormat="false" ht="15" hidden="false" customHeight="false" outlineLevel="0" collapsed="false">
      <c r="A32" s="9" t="s">
        <v>43</v>
      </c>
      <c r="B32" s="9" t="s">
        <v>35</v>
      </c>
      <c r="C32" s="10" t="n">
        <v>6.25</v>
      </c>
      <c r="D32" s="11" t="n">
        <f aca="false">C32*$D$4*(1+$D$5)</f>
        <v>5.7279375</v>
      </c>
      <c r="E32" s="12" t="n">
        <v>29.9</v>
      </c>
      <c r="F32" s="11" t="n">
        <f aca="false">E32-D32</f>
        <v>24.1720625</v>
      </c>
      <c r="G32" s="11" t="n">
        <f aca="false">E32*$D$6</f>
        <v>3.7076</v>
      </c>
      <c r="H32" s="11" t="n">
        <f aca="false">E32*$D$7+$D$8</f>
        <v>0.6985</v>
      </c>
      <c r="I32" s="13" t="n">
        <f aca="false">E32-D32-G32-H32</f>
        <v>19.7659625</v>
      </c>
      <c r="J32" s="14" t="n">
        <f aca="false">IF(E32=0,0,I32/E32)</f>
        <v>0.66106897993311</v>
      </c>
      <c r="K32" s="11" t="n">
        <f aca="false">E32*(1-$D$9)</f>
        <v>26.91</v>
      </c>
      <c r="L32" s="11" t="n">
        <f aca="false">K32-D32-K32*$D$6-(K32*$D$7+$D$8)</f>
        <v>17.1915725</v>
      </c>
    </row>
    <row r="33" customFormat="false" ht="15" hidden="false" customHeight="false" outlineLevel="0" collapsed="false">
      <c r="A33" s="9" t="s">
        <v>44</v>
      </c>
      <c r="B33" s="9" t="s">
        <v>35</v>
      </c>
      <c r="C33" s="10" t="n">
        <v>6.7</v>
      </c>
      <c r="D33" s="11" t="n">
        <f aca="false">C33*$D$4*(1+$D$5)</f>
        <v>6.140349</v>
      </c>
      <c r="E33" s="12" t="n">
        <v>29.9</v>
      </c>
      <c r="F33" s="11" t="n">
        <f aca="false">E33-D33</f>
        <v>23.759651</v>
      </c>
      <c r="G33" s="11" t="n">
        <f aca="false">E33*$D$6</f>
        <v>3.7076</v>
      </c>
      <c r="H33" s="11" t="n">
        <f aca="false">E33*$D$7+$D$8</f>
        <v>0.6985</v>
      </c>
      <c r="I33" s="13" t="n">
        <f aca="false">E33-D33-G33-H33</f>
        <v>19.353551</v>
      </c>
      <c r="J33" s="14" t="n">
        <f aca="false">IF(E33=0,0,I33/E33)</f>
        <v>0.647275953177258</v>
      </c>
      <c r="K33" s="11" t="n">
        <f aca="false">E33*(1-$D$9)</f>
        <v>26.91</v>
      </c>
      <c r="L33" s="11" t="n">
        <f aca="false">K33-D33-K33*$D$6-(K33*$D$7+$D$8)</f>
        <v>16.779161</v>
      </c>
    </row>
    <row r="34" customFormat="false" ht="15" hidden="false" customHeight="false" outlineLevel="0" collapsed="false">
      <c r="A34" s="9" t="s">
        <v>45</v>
      </c>
      <c r="B34" s="9" t="s">
        <v>35</v>
      </c>
      <c r="C34" s="10" t="n">
        <v>6.7</v>
      </c>
      <c r="D34" s="11" t="n">
        <f aca="false">C34*$D$4*(1+$D$5)</f>
        <v>6.140349</v>
      </c>
      <c r="E34" s="12" t="n">
        <v>29.9</v>
      </c>
      <c r="F34" s="11" t="n">
        <f aca="false">E34-D34</f>
        <v>23.759651</v>
      </c>
      <c r="G34" s="11" t="n">
        <f aca="false">E34*$D$6</f>
        <v>3.7076</v>
      </c>
      <c r="H34" s="11" t="n">
        <f aca="false">E34*$D$7+$D$8</f>
        <v>0.6985</v>
      </c>
      <c r="I34" s="13" t="n">
        <f aca="false">E34-D34-G34-H34</f>
        <v>19.353551</v>
      </c>
      <c r="J34" s="14" t="n">
        <f aca="false">IF(E34=0,0,I34/E34)</f>
        <v>0.647275953177258</v>
      </c>
      <c r="K34" s="11" t="n">
        <f aca="false">E34*(1-$D$9)</f>
        <v>26.91</v>
      </c>
      <c r="L34" s="11" t="n">
        <f aca="false">K34-D34-K34*$D$6-(K34*$D$7+$D$8)</f>
        <v>16.779161</v>
      </c>
    </row>
    <row r="35" customFormat="false" ht="15" hidden="false" customHeight="false" outlineLevel="0" collapsed="false">
      <c r="A35" s="9" t="s">
        <v>46</v>
      </c>
      <c r="B35" s="9" t="s">
        <v>35</v>
      </c>
      <c r="C35" s="10" t="n">
        <v>4.22</v>
      </c>
      <c r="D35" s="11" t="n">
        <f aca="false">C35*$D$4*(1+$D$5)</f>
        <v>3.8675034</v>
      </c>
      <c r="E35" s="12" t="n">
        <v>23.9</v>
      </c>
      <c r="F35" s="11" t="n">
        <f aca="false">E35-D35</f>
        <v>20.0324966</v>
      </c>
      <c r="G35" s="11" t="n">
        <f aca="false">E35*$D$6</f>
        <v>2.9636</v>
      </c>
      <c r="H35" s="11" t="n">
        <f aca="false">E35*$D$7+$D$8</f>
        <v>0.6085</v>
      </c>
      <c r="I35" s="13" t="n">
        <f aca="false">E35-D35-G35-H35</f>
        <v>16.4603966</v>
      </c>
      <c r="J35" s="14" t="n">
        <f aca="false">IF(E35=0,0,I35/E35)</f>
        <v>0.688719523012552</v>
      </c>
      <c r="K35" s="11" t="n">
        <f aca="false">E35*(1-$D$9)</f>
        <v>21.51</v>
      </c>
      <c r="L35" s="11" t="n">
        <f aca="false">K35-D35-K35*$D$6-(K35*$D$7+$D$8)</f>
        <v>14.4026066</v>
      </c>
    </row>
    <row r="36" customFormat="false" ht="15" hidden="false" customHeight="false" outlineLevel="0" collapsed="false">
      <c r="A36" s="9" t="s">
        <v>47</v>
      </c>
      <c r="B36" s="9" t="s">
        <v>48</v>
      </c>
      <c r="C36" s="10" t="n">
        <v>5.43</v>
      </c>
      <c r="D36" s="11" t="n">
        <f aca="false">C36*$D$4*(1+$D$5)</f>
        <v>4.9764321</v>
      </c>
      <c r="E36" s="12" t="n">
        <v>23.9</v>
      </c>
      <c r="F36" s="11" t="n">
        <f aca="false">E36-D36</f>
        <v>18.9235679</v>
      </c>
      <c r="G36" s="11" t="n">
        <f aca="false">E36*$D$6</f>
        <v>2.9636</v>
      </c>
      <c r="H36" s="11" t="n">
        <f aca="false">E36*$D$7+$D$8</f>
        <v>0.6085</v>
      </c>
      <c r="I36" s="13" t="n">
        <f aca="false">E36-D36-G36-H36</f>
        <v>15.3514679</v>
      </c>
      <c r="J36" s="14" t="n">
        <f aca="false">IF(E36=0,0,I36/E36)</f>
        <v>0.642320832635983</v>
      </c>
      <c r="K36" s="11" t="n">
        <f aca="false">E36*(1-$D$9)</f>
        <v>21.51</v>
      </c>
      <c r="L36" s="11" t="n">
        <f aca="false">K36-D36-K36*$D$6-(K36*$D$7+$D$8)</f>
        <v>13.2936779</v>
      </c>
    </row>
    <row r="37" customFormat="false" ht="15" hidden="false" customHeight="false" outlineLevel="0" collapsed="false">
      <c r="A37" s="9" t="s">
        <v>49</v>
      </c>
      <c r="B37" s="9" t="s">
        <v>48</v>
      </c>
      <c r="C37" s="10" t="n">
        <v>7.54</v>
      </c>
      <c r="D37" s="11" t="n">
        <f aca="false">C37*$D$4*(1+$D$5)</f>
        <v>6.9101838</v>
      </c>
      <c r="E37" s="12" t="n">
        <v>34.9</v>
      </c>
      <c r="F37" s="11" t="n">
        <f aca="false">E37-D37</f>
        <v>27.9898162</v>
      </c>
      <c r="G37" s="11" t="n">
        <f aca="false">E37*$D$6</f>
        <v>4.3276</v>
      </c>
      <c r="H37" s="11" t="n">
        <f aca="false">E37*$D$7+$D$8</f>
        <v>0.7735</v>
      </c>
      <c r="I37" s="13" t="n">
        <f aca="false">E37-D37-G37-H37</f>
        <v>22.8887162</v>
      </c>
      <c r="J37" s="14" t="n">
        <f aca="false">IF(E37=0,0,I37/E37)</f>
        <v>0.655837140401146</v>
      </c>
      <c r="K37" s="11" t="n">
        <f aca="false">E37*(1-$D$9)</f>
        <v>31.41</v>
      </c>
      <c r="L37" s="11" t="n">
        <f aca="false">K37-D37-K37*$D$6-(K37*$D$7+$D$8)</f>
        <v>19.8838262</v>
      </c>
    </row>
    <row r="38" customFormat="false" ht="15" hidden="false" customHeight="false" outlineLevel="0" collapsed="false">
      <c r="A38" s="9" t="s">
        <v>50</v>
      </c>
      <c r="B38" s="9" t="s">
        <v>48</v>
      </c>
      <c r="C38" s="10" t="n">
        <v>5.55</v>
      </c>
      <c r="D38" s="11" t="n">
        <f aca="false">C38*$D$4*(1+$D$5)</f>
        <v>5.0864085</v>
      </c>
      <c r="E38" s="12" t="n">
        <v>27.9</v>
      </c>
      <c r="F38" s="11" t="n">
        <f aca="false">E38-D38</f>
        <v>22.8135915</v>
      </c>
      <c r="G38" s="11" t="n">
        <f aca="false">E38*$D$6</f>
        <v>3.4596</v>
      </c>
      <c r="H38" s="11" t="n">
        <f aca="false">E38*$D$7+$D$8</f>
        <v>0.6685</v>
      </c>
      <c r="I38" s="13" t="n">
        <f aca="false">E38-D38-G38-H38</f>
        <v>18.6854915</v>
      </c>
      <c r="J38" s="14" t="n">
        <f aca="false">IF(E38=0,0,I38/E38)</f>
        <v>0.669730878136201</v>
      </c>
      <c r="K38" s="11" t="n">
        <f aca="false">E38*(1-$D$9)</f>
        <v>25.11</v>
      </c>
      <c r="L38" s="11" t="n">
        <f aca="false">K38-D38-K38*$D$6-(K38*$D$7+$D$8)</f>
        <v>16.2833015</v>
      </c>
    </row>
    <row r="39" customFormat="false" ht="15" hidden="false" customHeight="false" outlineLevel="0" collapsed="false">
      <c r="A39" s="9" t="s">
        <v>51</v>
      </c>
      <c r="B39" s="9" t="s">
        <v>48</v>
      </c>
      <c r="C39" s="10" t="n">
        <v>5.73</v>
      </c>
      <c r="D39" s="11" t="n">
        <f aca="false">C39*$D$4*(1+$D$5)</f>
        <v>5.2513731</v>
      </c>
      <c r="E39" s="12" t="n">
        <v>23.9</v>
      </c>
      <c r="F39" s="11" t="n">
        <f aca="false">E39-D39</f>
        <v>18.6486269</v>
      </c>
      <c r="G39" s="11" t="n">
        <f aca="false">E39*$D$6</f>
        <v>2.9636</v>
      </c>
      <c r="H39" s="11" t="n">
        <f aca="false">E39*$D$7+$D$8</f>
        <v>0.6085</v>
      </c>
      <c r="I39" s="13" t="n">
        <f aca="false">E39-D39-G39-H39</f>
        <v>15.0765269</v>
      </c>
      <c r="J39" s="14" t="n">
        <f aca="false">IF(E39=0,0,I39/E39)</f>
        <v>0.630817025104603</v>
      </c>
      <c r="K39" s="11" t="n">
        <f aca="false">E39*(1-$D$9)</f>
        <v>21.51</v>
      </c>
      <c r="L39" s="11" t="n">
        <f aca="false">K39-D39-K39*$D$6-(K39*$D$7+$D$8)</f>
        <v>13.0187369</v>
      </c>
    </row>
    <row r="40" customFormat="false" ht="15" hidden="false" customHeight="false" outlineLevel="0" collapsed="false">
      <c r="A40" s="9" t="s">
        <v>52</v>
      </c>
      <c r="B40" s="9" t="s">
        <v>48</v>
      </c>
      <c r="C40" s="10" t="n">
        <v>4.8</v>
      </c>
      <c r="D40" s="11" t="n">
        <f aca="false">C40*$D$4*(1+$D$5)</f>
        <v>4.399056</v>
      </c>
      <c r="E40" s="12" t="n">
        <v>27.9</v>
      </c>
      <c r="F40" s="11" t="n">
        <f aca="false">E40-D40</f>
        <v>23.500944</v>
      </c>
      <c r="G40" s="11" t="n">
        <f aca="false">E40*$D$6</f>
        <v>3.4596</v>
      </c>
      <c r="H40" s="11" t="n">
        <f aca="false">E40*$D$7+$D$8</f>
        <v>0.6685</v>
      </c>
      <c r="I40" s="13" t="n">
        <f aca="false">E40-D40-G40-H40</f>
        <v>19.372844</v>
      </c>
      <c r="J40" s="14" t="n">
        <f aca="false">IF(E40=0,0,I40/E40)</f>
        <v>0.694367168458781</v>
      </c>
      <c r="K40" s="11" t="n">
        <f aca="false">E40*(1-$D$9)</f>
        <v>25.11</v>
      </c>
      <c r="L40" s="11" t="n">
        <f aca="false">K40-D40-K40*$D$6-(K40*$D$7+$D$8)</f>
        <v>16.970654</v>
      </c>
    </row>
    <row r="41" customFormat="false" ht="15" hidden="false" customHeight="false" outlineLevel="0" collapsed="false">
      <c r="A41" s="9" t="s">
        <v>53</v>
      </c>
      <c r="B41" s="9" t="s">
        <v>48</v>
      </c>
      <c r="C41" s="10" t="n">
        <v>5.62</v>
      </c>
      <c r="D41" s="11" t="n">
        <f aca="false">C41*$D$4*(1+$D$5)</f>
        <v>5.1505614</v>
      </c>
      <c r="E41" s="12" t="n">
        <v>27.9</v>
      </c>
      <c r="F41" s="11" t="n">
        <f aca="false">E41-D41</f>
        <v>22.7494386</v>
      </c>
      <c r="G41" s="11" t="n">
        <f aca="false">E41*$D$6</f>
        <v>3.4596</v>
      </c>
      <c r="H41" s="11" t="n">
        <f aca="false">E41*$D$7+$D$8</f>
        <v>0.6685</v>
      </c>
      <c r="I41" s="13" t="n">
        <f aca="false">E41-D41-G41-H41</f>
        <v>18.6213386</v>
      </c>
      <c r="J41" s="14" t="n">
        <f aca="false">IF(E41=0,0,I41/E41)</f>
        <v>0.667431491039426</v>
      </c>
      <c r="K41" s="11" t="n">
        <f aca="false">E41*(1-$D$9)</f>
        <v>25.11</v>
      </c>
      <c r="L41" s="11" t="n">
        <f aca="false">K41-D41-K41*$D$6-(K41*$D$7+$D$8)</f>
        <v>16.2191486</v>
      </c>
    </row>
    <row r="42" customFormat="false" ht="15" hidden="false" customHeight="false" outlineLevel="0" collapsed="false">
      <c r="A42" s="9" t="s">
        <v>54</v>
      </c>
      <c r="B42" s="9" t="s">
        <v>48</v>
      </c>
      <c r="C42" s="10" t="n">
        <v>5.2</v>
      </c>
      <c r="D42" s="11" t="n">
        <f aca="false">C42*$D$4*(1+$D$5)</f>
        <v>4.765644</v>
      </c>
      <c r="E42" s="12" t="n">
        <v>27.9</v>
      </c>
      <c r="F42" s="11" t="n">
        <f aca="false">E42-D42</f>
        <v>23.134356</v>
      </c>
      <c r="G42" s="11" t="n">
        <f aca="false">E42*$D$6</f>
        <v>3.4596</v>
      </c>
      <c r="H42" s="11" t="n">
        <f aca="false">E42*$D$7+$D$8</f>
        <v>0.6685</v>
      </c>
      <c r="I42" s="13" t="n">
        <f aca="false">E42-D42-G42-H42</f>
        <v>19.006256</v>
      </c>
      <c r="J42" s="14" t="n">
        <f aca="false">IF(E42=0,0,I42/E42)</f>
        <v>0.681227813620072</v>
      </c>
      <c r="K42" s="11" t="n">
        <f aca="false">E42*(1-$D$9)</f>
        <v>25.11</v>
      </c>
      <c r="L42" s="11" t="n">
        <f aca="false">K42-D42-K42*$D$6-(K42*$D$7+$D$8)</f>
        <v>16.604066</v>
      </c>
    </row>
    <row r="43" customFormat="false" ht="15" hidden="false" customHeight="false" outlineLevel="0" collapsed="false">
      <c r="A43" s="9" t="s">
        <v>55</v>
      </c>
      <c r="B43" s="9" t="s">
        <v>48</v>
      </c>
      <c r="C43" s="10" t="n">
        <v>5.29</v>
      </c>
      <c r="D43" s="11" t="n">
        <f aca="false">C43*$D$4*(1+$D$5)</f>
        <v>4.8481263</v>
      </c>
      <c r="E43" s="12" t="n">
        <v>27.9</v>
      </c>
      <c r="F43" s="11" t="n">
        <f aca="false">E43-D43</f>
        <v>23.0518737</v>
      </c>
      <c r="G43" s="11" t="n">
        <f aca="false">E43*$D$6</f>
        <v>3.4596</v>
      </c>
      <c r="H43" s="11" t="n">
        <f aca="false">E43*$D$7+$D$8</f>
        <v>0.6685</v>
      </c>
      <c r="I43" s="13" t="n">
        <f aca="false">E43-D43-G43-H43</f>
        <v>18.9237737</v>
      </c>
      <c r="J43" s="14" t="n">
        <f aca="false">IF(E43=0,0,I43/E43)</f>
        <v>0.678271458781362</v>
      </c>
      <c r="K43" s="11" t="n">
        <f aca="false">E43*(1-$D$9)</f>
        <v>25.11</v>
      </c>
      <c r="L43" s="11" t="n">
        <f aca="false">K43-D43-K43*$D$6-(K43*$D$7+$D$8)</f>
        <v>16.5215837</v>
      </c>
    </row>
    <row r="44" customFormat="false" ht="15" hidden="false" customHeight="false" outlineLevel="0" collapsed="false">
      <c r="A44" s="9" t="s">
        <v>56</v>
      </c>
      <c r="B44" s="9" t="s">
        <v>48</v>
      </c>
      <c r="C44" s="10" t="n">
        <v>4.62</v>
      </c>
      <c r="D44" s="11" t="n">
        <f aca="false">C44*$D$4*(1+$D$5)</f>
        <v>4.2340914</v>
      </c>
      <c r="E44" s="12" t="n">
        <v>24.9</v>
      </c>
      <c r="F44" s="11" t="n">
        <f aca="false">E44-D44</f>
        <v>20.6659086</v>
      </c>
      <c r="G44" s="11" t="n">
        <f aca="false">E44*$D$6</f>
        <v>3.0876</v>
      </c>
      <c r="H44" s="11" t="n">
        <f aca="false">E44*$D$7+$D$8</f>
        <v>0.6235</v>
      </c>
      <c r="I44" s="13" t="n">
        <f aca="false">E44-D44-G44-H44</f>
        <v>16.9548086</v>
      </c>
      <c r="J44" s="14" t="n">
        <f aca="false">IF(E44=0,0,I44/E44)</f>
        <v>0.680916008032129</v>
      </c>
      <c r="K44" s="11" t="n">
        <f aca="false">E44*(1-$D$9)</f>
        <v>22.41</v>
      </c>
      <c r="L44" s="11" t="n">
        <f aca="false">K44-D44-K44*$D$6-(K44*$D$7+$D$8)</f>
        <v>14.8109186</v>
      </c>
    </row>
    <row r="45" customFormat="false" ht="15" hidden="false" customHeight="false" outlineLevel="0" collapsed="false">
      <c r="A45" s="9" t="s">
        <v>57</v>
      </c>
      <c r="B45" s="9" t="s">
        <v>48</v>
      </c>
      <c r="C45" s="10" t="n">
        <v>4.9</v>
      </c>
      <c r="D45" s="11" t="n">
        <f aca="false">C45*$D$4*(1+$D$5)</f>
        <v>4.490703</v>
      </c>
      <c r="E45" s="12" t="n">
        <v>23.9</v>
      </c>
      <c r="F45" s="11" t="n">
        <f aca="false">E45-D45</f>
        <v>19.409297</v>
      </c>
      <c r="G45" s="11" t="n">
        <f aca="false">E45*$D$6</f>
        <v>2.9636</v>
      </c>
      <c r="H45" s="11" t="n">
        <f aca="false">E45*$D$7+$D$8</f>
        <v>0.6085</v>
      </c>
      <c r="I45" s="13" t="n">
        <f aca="false">E45-D45-G45-H45</f>
        <v>15.837197</v>
      </c>
      <c r="J45" s="14" t="n">
        <f aca="false">IF(E45=0,0,I45/E45)</f>
        <v>0.662644225941423</v>
      </c>
      <c r="K45" s="11" t="n">
        <f aca="false">E45*(1-$D$9)</f>
        <v>21.51</v>
      </c>
      <c r="L45" s="11" t="n">
        <f aca="false">K45-D45-K45*$D$6-(K45*$D$7+$D$8)</f>
        <v>13.779407</v>
      </c>
    </row>
    <row r="46" customFormat="false" ht="15" hidden="false" customHeight="false" outlineLevel="0" collapsed="false">
      <c r="A46" s="9" t="s">
        <v>58</v>
      </c>
      <c r="B46" s="9" t="s">
        <v>48</v>
      </c>
      <c r="C46" s="10" t="n">
        <v>5.29</v>
      </c>
      <c r="D46" s="11" t="n">
        <f aca="false">C46*$D$4*(1+$D$5)</f>
        <v>4.8481263</v>
      </c>
      <c r="E46" s="12" t="n">
        <v>23.9</v>
      </c>
      <c r="F46" s="11" t="n">
        <f aca="false">E46-D46</f>
        <v>19.0518737</v>
      </c>
      <c r="G46" s="11" t="n">
        <f aca="false">E46*$D$6</f>
        <v>2.9636</v>
      </c>
      <c r="H46" s="11" t="n">
        <f aca="false">E46*$D$7+$D$8</f>
        <v>0.6085</v>
      </c>
      <c r="I46" s="13" t="n">
        <f aca="false">E46-D46-G46-H46</f>
        <v>15.4797737</v>
      </c>
      <c r="J46" s="14" t="n">
        <f aca="false">IF(E46=0,0,I46/E46)</f>
        <v>0.647689276150628</v>
      </c>
      <c r="K46" s="11" t="n">
        <f aca="false">E46*(1-$D$9)</f>
        <v>21.51</v>
      </c>
      <c r="L46" s="11" t="n">
        <f aca="false">K46-D46-K46*$D$6-(K46*$D$7+$D$8)</f>
        <v>13.4219837</v>
      </c>
    </row>
    <row r="47" customFormat="false" ht="15" hidden="false" customHeight="false" outlineLevel="0" collapsed="false">
      <c r="A47" s="9" t="s">
        <v>59</v>
      </c>
      <c r="B47" s="9" t="s">
        <v>48</v>
      </c>
      <c r="C47" s="10" t="n">
        <v>4.43</v>
      </c>
      <c r="D47" s="11" t="n">
        <f aca="false">C47*$D$4*(1+$D$5)</f>
        <v>4.0599621</v>
      </c>
      <c r="E47" s="12" t="n">
        <v>23.9</v>
      </c>
      <c r="F47" s="11" t="n">
        <f aca="false">E47-D47</f>
        <v>19.8400379</v>
      </c>
      <c r="G47" s="11" t="n">
        <f aca="false">E47*$D$6</f>
        <v>2.9636</v>
      </c>
      <c r="H47" s="11" t="n">
        <f aca="false">E47*$D$7+$D$8</f>
        <v>0.6085</v>
      </c>
      <c r="I47" s="13" t="n">
        <f aca="false">E47-D47-G47-H47</f>
        <v>16.2679379</v>
      </c>
      <c r="J47" s="14" t="n">
        <f aca="false">IF(E47=0,0,I47/E47)</f>
        <v>0.680666857740586</v>
      </c>
      <c r="K47" s="11" t="n">
        <f aca="false">E47*(1-$D$9)</f>
        <v>21.51</v>
      </c>
      <c r="L47" s="11" t="n">
        <f aca="false">K47-D47-K47*$D$6-(K47*$D$7+$D$8)</f>
        <v>14.2101479</v>
      </c>
    </row>
    <row r="48" customFormat="false" ht="15" hidden="false" customHeight="false" outlineLevel="0" collapsed="false">
      <c r="A48" s="9" t="s">
        <v>60</v>
      </c>
      <c r="B48" s="9" t="s">
        <v>48</v>
      </c>
      <c r="C48" s="10" t="n">
        <v>5.11</v>
      </c>
      <c r="D48" s="11" t="n">
        <f aca="false">C48*$D$4*(1+$D$5)</f>
        <v>4.6831617</v>
      </c>
      <c r="E48" s="12" t="n">
        <v>27.9</v>
      </c>
      <c r="F48" s="11" t="n">
        <f aca="false">E48-D48</f>
        <v>23.2168383</v>
      </c>
      <c r="G48" s="11" t="n">
        <f aca="false">E48*$D$6</f>
        <v>3.4596</v>
      </c>
      <c r="H48" s="11" t="n">
        <f aca="false">E48*$D$7+$D$8</f>
        <v>0.6685</v>
      </c>
      <c r="I48" s="13" t="n">
        <f aca="false">E48-D48-G48-H48</f>
        <v>19.0887383</v>
      </c>
      <c r="J48" s="14" t="n">
        <f aca="false">IF(E48=0,0,I48/E48)</f>
        <v>0.684184168458781</v>
      </c>
      <c r="K48" s="11" t="n">
        <f aca="false">E48*(1-$D$9)</f>
        <v>25.11</v>
      </c>
      <c r="L48" s="11" t="n">
        <f aca="false">K48-D48-K48*$D$6-(K48*$D$7+$D$8)</f>
        <v>16.6865483</v>
      </c>
    </row>
    <row r="49" customFormat="false" ht="15" hidden="false" customHeight="false" outlineLevel="0" collapsed="false">
      <c r="A49" s="9" t="s">
        <v>61</v>
      </c>
      <c r="B49" s="9" t="s">
        <v>62</v>
      </c>
      <c r="C49" s="10" t="n">
        <v>4.28</v>
      </c>
      <c r="D49" s="11" t="n">
        <f aca="false">C49*$D$4*(1+$D$5)</f>
        <v>3.9224916</v>
      </c>
      <c r="E49" s="12" t="n">
        <v>23.9</v>
      </c>
      <c r="F49" s="11" t="n">
        <f aca="false">E49-D49</f>
        <v>19.9775084</v>
      </c>
      <c r="G49" s="11" t="n">
        <f aca="false">E49*$D$6</f>
        <v>2.9636</v>
      </c>
      <c r="H49" s="11" t="n">
        <f aca="false">E49*$D$7+$D$8</f>
        <v>0.6085</v>
      </c>
      <c r="I49" s="13" t="n">
        <f aca="false">E49-D49-G49-H49</f>
        <v>16.4054084</v>
      </c>
      <c r="J49" s="14" t="n">
        <f aca="false">IF(E49=0,0,I49/E49)</f>
        <v>0.686418761506276</v>
      </c>
      <c r="K49" s="11" t="n">
        <f aca="false">E49*(1-$D$9)</f>
        <v>21.51</v>
      </c>
      <c r="L49" s="11" t="n">
        <f aca="false">K49-D49-K49*$D$6-(K49*$D$7+$D$8)</f>
        <v>14.3476184</v>
      </c>
    </row>
    <row r="50" customFormat="false" ht="15" hidden="false" customHeight="false" outlineLevel="0" collapsed="false">
      <c r="A50" s="9" t="s">
        <v>63</v>
      </c>
      <c r="B50" s="9" t="s">
        <v>62</v>
      </c>
      <c r="C50" s="10" t="n">
        <v>5.41</v>
      </c>
      <c r="D50" s="11" t="n">
        <f aca="false">C50*$D$4*(1+$D$5)</f>
        <v>4.9581027</v>
      </c>
      <c r="E50" s="12" t="n">
        <v>29.9</v>
      </c>
      <c r="F50" s="11" t="n">
        <f aca="false">E50-D50</f>
        <v>24.9418973</v>
      </c>
      <c r="G50" s="11" t="n">
        <f aca="false">E50*$D$6</f>
        <v>3.7076</v>
      </c>
      <c r="H50" s="11" t="n">
        <f aca="false">E50*$D$7+$D$8</f>
        <v>0.6985</v>
      </c>
      <c r="I50" s="13" t="n">
        <f aca="false">E50-D50-G50-H50</f>
        <v>20.5357973</v>
      </c>
      <c r="J50" s="14" t="n">
        <f aca="false">IF(E50=0,0,I50/E50)</f>
        <v>0.686815963210703</v>
      </c>
      <c r="K50" s="11" t="n">
        <f aca="false">E50*(1-$D$9)</f>
        <v>26.91</v>
      </c>
      <c r="L50" s="11" t="n">
        <f aca="false">K50-D50-K50*$D$6-(K50*$D$7+$D$8)</f>
        <v>17.9614073</v>
      </c>
    </row>
    <row r="51" customFormat="false" ht="15" hidden="false" customHeight="false" outlineLevel="0" collapsed="false">
      <c r="A51" s="9" t="s">
        <v>64</v>
      </c>
      <c r="B51" s="9" t="s">
        <v>62</v>
      </c>
      <c r="C51" s="10" t="n">
        <v>6.23</v>
      </c>
      <c r="D51" s="11" t="n">
        <f aca="false">C51*$D$4*(1+$D$5)</f>
        <v>5.7096081</v>
      </c>
      <c r="E51" s="12" t="n">
        <v>29.9</v>
      </c>
      <c r="F51" s="11" t="n">
        <f aca="false">E51-D51</f>
        <v>24.1903919</v>
      </c>
      <c r="G51" s="11" t="n">
        <f aca="false">E51*$D$6</f>
        <v>3.7076</v>
      </c>
      <c r="H51" s="11" t="n">
        <f aca="false">E51*$D$7+$D$8</f>
        <v>0.6985</v>
      </c>
      <c r="I51" s="13" t="n">
        <f aca="false">E51-D51-G51-H51</f>
        <v>19.7842919</v>
      </c>
      <c r="J51" s="14" t="n">
        <f aca="false">IF(E51=0,0,I51/E51)</f>
        <v>0.661682003344482</v>
      </c>
      <c r="K51" s="11" t="n">
        <f aca="false">E51*(1-$D$9)</f>
        <v>26.91</v>
      </c>
      <c r="L51" s="11" t="n">
        <f aca="false">K51-D51-K51*$D$6-(K51*$D$7+$D$8)</f>
        <v>17.2099019</v>
      </c>
    </row>
    <row r="52" customFormat="false" ht="15" hidden="false" customHeight="false" outlineLevel="0" collapsed="false">
      <c r="A52" s="9" t="s">
        <v>65</v>
      </c>
      <c r="B52" s="9" t="s">
        <v>66</v>
      </c>
      <c r="C52" s="10" t="n">
        <v>5.73</v>
      </c>
      <c r="D52" s="11" t="n">
        <f aca="false">C52*$D$4*(1+$D$5)</f>
        <v>5.2513731</v>
      </c>
      <c r="E52" s="12" t="n">
        <v>44.9</v>
      </c>
      <c r="F52" s="11" t="n">
        <f aca="false">E52-D52</f>
        <v>39.6486269</v>
      </c>
      <c r="G52" s="11" t="n">
        <f aca="false">E52*$D$6</f>
        <v>5.5676</v>
      </c>
      <c r="H52" s="11" t="n">
        <f aca="false">E52*$D$7+$D$8</f>
        <v>0.9235</v>
      </c>
      <c r="I52" s="13" t="n">
        <f aca="false">E52-D52-G52-H52</f>
        <v>33.1575269</v>
      </c>
      <c r="J52" s="14" t="n">
        <f aca="false">IF(E52=0,0,I52/E52)</f>
        <v>0.738474986636971</v>
      </c>
      <c r="K52" s="11" t="n">
        <f aca="false">E52*(1-$D$9)</f>
        <v>40.41</v>
      </c>
      <c r="L52" s="11" t="n">
        <f aca="false">K52-D52-K52*$D$6-(K52*$D$7+$D$8)</f>
        <v>29.2916369</v>
      </c>
    </row>
    <row r="53" customFormat="false" ht="15" hidden="false" customHeight="false" outlineLevel="0" collapsed="false">
      <c r="A53" s="9" t="s">
        <v>67</v>
      </c>
      <c r="B53" s="9" t="s">
        <v>66</v>
      </c>
      <c r="C53" s="10" t="n">
        <v>6.67</v>
      </c>
      <c r="D53" s="11" t="n">
        <f aca="false">C53*$D$4*(1+$D$5)</f>
        <v>6.1128549</v>
      </c>
      <c r="E53" s="12" t="n">
        <v>59.9</v>
      </c>
      <c r="F53" s="11" t="n">
        <f aca="false">E53-D53</f>
        <v>53.7871451</v>
      </c>
      <c r="G53" s="11" t="n">
        <f aca="false">E53*$D$6</f>
        <v>7.4276</v>
      </c>
      <c r="H53" s="11" t="n">
        <f aca="false">E53*$D$7+$D$8</f>
        <v>1.1485</v>
      </c>
      <c r="I53" s="13" t="n">
        <f aca="false">E53-D53-G53-H53</f>
        <v>45.2110451</v>
      </c>
      <c r="J53" s="14" t="n">
        <f aca="false">IF(E53=0,0,I53/E53)</f>
        <v>0.754775377295493</v>
      </c>
      <c r="K53" s="11" t="n">
        <f aca="false">E53*(1-$D$9)</f>
        <v>53.91</v>
      </c>
      <c r="L53" s="11" t="n">
        <f aca="false">K53-D53-K53*$D$6-(K53*$D$7+$D$8)</f>
        <v>40.0536551</v>
      </c>
    </row>
    <row r="54" customFormat="false" ht="15" hidden="false" customHeight="false" outlineLevel="0" collapsed="false">
      <c r="A54" s="9" t="s">
        <v>68</v>
      </c>
      <c r="B54" s="9" t="s">
        <v>69</v>
      </c>
      <c r="C54" s="10" t="n">
        <v>11.19</v>
      </c>
      <c r="D54" s="11" t="n">
        <f aca="false">C54*$D$4*(1+$D$5)</f>
        <v>10.2552993</v>
      </c>
      <c r="E54" s="12" t="n">
        <v>49.9</v>
      </c>
      <c r="F54" s="11" t="n">
        <f aca="false">E54-D54</f>
        <v>39.6447007</v>
      </c>
      <c r="G54" s="11" t="n">
        <f aca="false">E54*$D$6</f>
        <v>6.1876</v>
      </c>
      <c r="H54" s="11" t="n">
        <f aca="false">E54*$D$7+$D$8</f>
        <v>0.9985</v>
      </c>
      <c r="I54" s="13" t="n">
        <f aca="false">E54-D54-G54-H54</f>
        <v>32.4586007</v>
      </c>
      <c r="J54" s="14" t="n">
        <f aca="false">IF(E54=0,0,I54/E54)</f>
        <v>0.65047295991984</v>
      </c>
      <c r="K54" s="11" t="n">
        <f aca="false">E54*(1-$D$9)</f>
        <v>44.91</v>
      </c>
      <c r="L54" s="11" t="n">
        <f aca="false">K54-D54-K54*$D$6-(K54*$D$7+$D$8)</f>
        <v>28.1622107</v>
      </c>
    </row>
    <row r="55" customFormat="false" ht="15" hidden="false" customHeight="false" outlineLevel="0" collapsed="false">
      <c r="A55" s="9" t="s">
        <v>70</v>
      </c>
      <c r="B55" s="9" t="s">
        <v>69</v>
      </c>
      <c r="C55" s="10" t="n">
        <v>11.19</v>
      </c>
      <c r="D55" s="11" t="n">
        <f aca="false">C55*$D$4*(1+$D$5)</f>
        <v>10.2552993</v>
      </c>
      <c r="E55" s="12" t="n">
        <v>49.9</v>
      </c>
      <c r="F55" s="11" t="n">
        <f aca="false">E55-D55</f>
        <v>39.6447007</v>
      </c>
      <c r="G55" s="11" t="n">
        <f aca="false">E55*$D$6</f>
        <v>6.1876</v>
      </c>
      <c r="H55" s="11" t="n">
        <f aca="false">E55*$D$7+$D$8</f>
        <v>0.9985</v>
      </c>
      <c r="I55" s="13" t="n">
        <f aca="false">E55-D55-G55-H55</f>
        <v>32.4586007</v>
      </c>
      <c r="J55" s="14" t="n">
        <f aca="false">IF(E55=0,0,I55/E55)</f>
        <v>0.65047295991984</v>
      </c>
      <c r="K55" s="11" t="n">
        <f aca="false">E55*(1-$D$9)</f>
        <v>44.91</v>
      </c>
      <c r="L55" s="11" t="n">
        <f aca="false">K55-D55-K55*$D$6-(K55*$D$7+$D$8)</f>
        <v>28.1622107</v>
      </c>
    </row>
    <row r="56" customFormat="false" ht="15" hidden="false" customHeight="false" outlineLevel="0" collapsed="false">
      <c r="A56" s="9" t="s">
        <v>71</v>
      </c>
      <c r="B56" s="9" t="s">
        <v>69</v>
      </c>
      <c r="C56" s="10" t="n">
        <v>12.99</v>
      </c>
      <c r="D56" s="11" t="n">
        <f aca="false">C56*$D$4*(1+$D$5)</f>
        <v>11.9049453</v>
      </c>
      <c r="E56" s="12" t="n">
        <v>54.9</v>
      </c>
      <c r="F56" s="11" t="n">
        <f aca="false">E56-D56</f>
        <v>42.9950547</v>
      </c>
      <c r="G56" s="11" t="n">
        <f aca="false">E56*$D$6</f>
        <v>6.8076</v>
      </c>
      <c r="H56" s="11" t="n">
        <f aca="false">E56*$D$7+$D$8</f>
        <v>1.0735</v>
      </c>
      <c r="I56" s="13" t="n">
        <f aca="false">E56-D56-G56-H56</f>
        <v>35.1139547</v>
      </c>
      <c r="J56" s="14" t="n">
        <f aca="false">IF(E56=0,0,I56/E56)</f>
        <v>0.639598446265938</v>
      </c>
      <c r="K56" s="11" t="n">
        <f aca="false">E56*(1-$D$9)</f>
        <v>49.41</v>
      </c>
      <c r="L56" s="11" t="n">
        <f aca="false">K56-D56-K56*$D$6-(K56*$D$7+$D$8)</f>
        <v>30.3870647</v>
      </c>
    </row>
    <row r="57" customFormat="false" ht="15" hidden="false" customHeight="false" outlineLevel="0" collapsed="false">
      <c r="A57" s="9" t="s">
        <v>72</v>
      </c>
      <c r="B57" s="9" t="s">
        <v>69</v>
      </c>
      <c r="C57" s="10" t="n">
        <v>12.99</v>
      </c>
      <c r="D57" s="11" t="n">
        <f aca="false">C57*$D$4*(1+$D$5)</f>
        <v>11.9049453</v>
      </c>
      <c r="E57" s="12" t="n">
        <v>54.9</v>
      </c>
      <c r="F57" s="11" t="n">
        <f aca="false">E57-D57</f>
        <v>42.9950547</v>
      </c>
      <c r="G57" s="11" t="n">
        <f aca="false">E57*$D$6</f>
        <v>6.8076</v>
      </c>
      <c r="H57" s="11" t="n">
        <f aca="false">E57*$D$7+$D$8</f>
        <v>1.0735</v>
      </c>
      <c r="I57" s="13" t="n">
        <f aca="false">E57-D57-G57-H57</f>
        <v>35.1139547</v>
      </c>
      <c r="J57" s="14" t="n">
        <f aca="false">IF(E57=0,0,I57/E57)</f>
        <v>0.639598446265938</v>
      </c>
      <c r="K57" s="11" t="n">
        <f aca="false">E57*(1-$D$9)</f>
        <v>49.41</v>
      </c>
      <c r="L57" s="11" t="n">
        <f aca="false">K57-D57-K57*$D$6-(K57*$D$7+$D$8)</f>
        <v>30.3870647</v>
      </c>
    </row>
    <row r="58" customFormat="false" ht="15" hidden="false" customHeight="false" outlineLevel="0" collapsed="false">
      <c r="A58" s="9" t="s">
        <v>73</v>
      </c>
      <c r="B58" s="9" t="s">
        <v>74</v>
      </c>
      <c r="C58" s="10" t="n">
        <v>6.17</v>
      </c>
      <c r="D58" s="11" t="n">
        <f aca="false">C58*$D$4*(1+$D$5)</f>
        <v>5.6546199</v>
      </c>
      <c r="E58" s="12" t="n">
        <v>27.9</v>
      </c>
      <c r="F58" s="11" t="n">
        <f aca="false">E58-D58</f>
        <v>22.2453801</v>
      </c>
      <c r="G58" s="11" t="n">
        <f aca="false">E58*$D$6</f>
        <v>3.4596</v>
      </c>
      <c r="H58" s="11" t="n">
        <f aca="false">E58*$D$7+$D$8</f>
        <v>0.6685</v>
      </c>
      <c r="I58" s="13" t="n">
        <f aca="false">E58-D58-G58-H58</f>
        <v>18.1172801</v>
      </c>
      <c r="J58" s="14" t="n">
        <f aca="false">IF(E58=0,0,I58/E58)</f>
        <v>0.649364878136201</v>
      </c>
      <c r="K58" s="11" t="n">
        <f aca="false">E58*(1-$D$9)</f>
        <v>25.11</v>
      </c>
      <c r="L58" s="11" t="n">
        <f aca="false">K58-D58-K58*$D$6-(K58*$D$7+$D$8)</f>
        <v>15.7150901</v>
      </c>
    </row>
    <row r="59" customFormat="false" ht="15" hidden="false" customHeight="false" outlineLevel="0" collapsed="false">
      <c r="A59" s="9" t="s">
        <v>75</v>
      </c>
      <c r="B59" s="9" t="s">
        <v>74</v>
      </c>
      <c r="C59" s="10" t="n">
        <v>6.17</v>
      </c>
      <c r="D59" s="11" t="n">
        <f aca="false">C59*$D$4*(1+$D$5)</f>
        <v>5.6546199</v>
      </c>
      <c r="E59" s="12" t="n">
        <v>27.9</v>
      </c>
      <c r="F59" s="11" t="n">
        <f aca="false">E59-D59</f>
        <v>22.2453801</v>
      </c>
      <c r="G59" s="11" t="n">
        <f aca="false">E59*$D$6</f>
        <v>3.4596</v>
      </c>
      <c r="H59" s="11" t="n">
        <f aca="false">E59*$D$7+$D$8</f>
        <v>0.6685</v>
      </c>
      <c r="I59" s="13" t="n">
        <f aca="false">E59-D59-G59-H59</f>
        <v>18.1172801</v>
      </c>
      <c r="J59" s="14" t="n">
        <f aca="false">IF(E59=0,0,I59/E59)</f>
        <v>0.649364878136201</v>
      </c>
      <c r="K59" s="11" t="n">
        <f aca="false">E59*(1-$D$9)</f>
        <v>25.11</v>
      </c>
      <c r="L59" s="11" t="n">
        <f aca="false">K59-D59-K59*$D$6-(K59*$D$7+$D$8)</f>
        <v>15.7150901</v>
      </c>
    </row>
    <row r="60" customFormat="false" ht="15" hidden="false" customHeight="false" outlineLevel="0" collapsed="false">
      <c r="A60" s="9" t="s">
        <v>76</v>
      </c>
      <c r="B60" s="9" t="s">
        <v>74</v>
      </c>
      <c r="C60" s="10" t="n">
        <v>6.17</v>
      </c>
      <c r="D60" s="11" t="n">
        <f aca="false">C60*$D$4*(1+$D$5)</f>
        <v>5.6546199</v>
      </c>
      <c r="E60" s="12" t="n">
        <v>27.9</v>
      </c>
      <c r="F60" s="11" t="n">
        <f aca="false">E60-D60</f>
        <v>22.2453801</v>
      </c>
      <c r="G60" s="11" t="n">
        <f aca="false">E60*$D$6</f>
        <v>3.4596</v>
      </c>
      <c r="H60" s="11" t="n">
        <f aca="false">E60*$D$7+$D$8</f>
        <v>0.6685</v>
      </c>
      <c r="I60" s="13" t="n">
        <f aca="false">E60-D60-G60-H60</f>
        <v>18.1172801</v>
      </c>
      <c r="J60" s="14" t="n">
        <f aca="false">IF(E60=0,0,I60/E60)</f>
        <v>0.649364878136201</v>
      </c>
      <c r="K60" s="11" t="n">
        <f aca="false">E60*(1-$D$9)</f>
        <v>25.11</v>
      </c>
      <c r="L60" s="11" t="n">
        <f aca="false">K60-D60-K60*$D$6-(K60*$D$7+$D$8)</f>
        <v>15.7150901</v>
      </c>
    </row>
    <row r="61" customFormat="false" ht="15" hidden="false" customHeight="false" outlineLevel="0" collapsed="false">
      <c r="A61" s="9" t="s">
        <v>77</v>
      </c>
      <c r="B61" s="9" t="s">
        <v>74</v>
      </c>
      <c r="C61" s="10" t="n">
        <v>6.17</v>
      </c>
      <c r="D61" s="11" t="n">
        <f aca="false">C61*$D$4*(1+$D$5)</f>
        <v>5.6546199</v>
      </c>
      <c r="E61" s="12" t="n">
        <v>27.9</v>
      </c>
      <c r="F61" s="11" t="n">
        <f aca="false">E61-D61</f>
        <v>22.2453801</v>
      </c>
      <c r="G61" s="11" t="n">
        <f aca="false">E61*$D$6</f>
        <v>3.4596</v>
      </c>
      <c r="H61" s="11" t="n">
        <f aca="false">E61*$D$7+$D$8</f>
        <v>0.6685</v>
      </c>
      <c r="I61" s="13" t="n">
        <f aca="false">E61-D61-G61-H61</f>
        <v>18.1172801</v>
      </c>
      <c r="J61" s="14" t="n">
        <f aca="false">IF(E61=0,0,I61/E61)</f>
        <v>0.649364878136201</v>
      </c>
      <c r="K61" s="11" t="n">
        <f aca="false">E61*(1-$D$9)</f>
        <v>25.11</v>
      </c>
      <c r="L61" s="11" t="n">
        <f aca="false">K61-D61-K61*$D$6-(K61*$D$7+$D$8)</f>
        <v>15.7150901</v>
      </c>
    </row>
    <row r="63" customFormat="false" ht="15" hidden="false" customHeight="false" outlineLevel="0" collapsed="false">
      <c r="A63" s="15" t="s">
        <v>78</v>
      </c>
      <c r="B63" s="16"/>
      <c r="C63" s="17" t="n">
        <f aca="false">AVERAGE(C12:C61)</f>
        <v>5.766</v>
      </c>
      <c r="D63" s="18" t="n">
        <f aca="false">AVERAGE(D12:D61)</f>
        <v>5.28436602</v>
      </c>
      <c r="E63" s="18" t="n">
        <f aca="false">AVERAGE(E12:E61)</f>
        <v>29.3</v>
      </c>
      <c r="F63" s="18" t="n">
        <f aca="false">AVERAGE(F12:F61)</f>
        <v>24.01563398</v>
      </c>
      <c r="G63" s="18" t="n">
        <f aca="false">AVERAGE(G12:G61)</f>
        <v>3.6332</v>
      </c>
      <c r="H63" s="18" t="n">
        <f aca="false">AVERAGE(H12:H61)</f>
        <v>0.6895</v>
      </c>
      <c r="I63" s="18" t="n">
        <f aca="false">AVERAGE(I12:I61)</f>
        <v>19.69293398</v>
      </c>
      <c r="J63" s="19" t="n">
        <f aca="false">AVERAGE(J12:J61)</f>
        <v>0.671518848772749</v>
      </c>
      <c r="K63" s="18" t="n">
        <f aca="false">AVERAGE(K12:K61)</f>
        <v>26.37</v>
      </c>
      <c r="L63" s="18" t="n">
        <f aca="false">AVERAGE(L12:L61)</f>
        <v>17.17020398</v>
      </c>
    </row>
    <row r="64" customFormat="false" ht="15" hidden="false" customHeight="false" outlineLevel="0" collapsed="false">
      <c r="A64" s="3" t="s">
        <v>79</v>
      </c>
      <c r="I64" s="20" t="n">
        <f aca="false">MIN(I12:I61)</f>
        <v>15.0765269</v>
      </c>
      <c r="L64" s="20" t="n">
        <f aca="false">MIN(L12:L61)</f>
        <v>13.0187369</v>
      </c>
    </row>
    <row r="66" customFormat="false" ht="15" hidden="false" customHeight="false" outlineLevel="0" collapsed="false">
      <c r="A66" s="3" t="s">
        <v>80</v>
      </c>
    </row>
    <row r="67" customFormat="false" ht="15" hidden="false" customHeight="false" outlineLevel="0" collapsed="false">
      <c r="A67" s="21" t="s">
        <v>81</v>
      </c>
    </row>
    <row r="68" customFormat="false" ht="15" hidden="false" customHeight="false" outlineLevel="0" collapsed="false">
      <c r="A68" s="21" t="s">
        <v>82</v>
      </c>
    </row>
    <row r="69" customFormat="false" ht="15" hidden="false" customHeight="false" outlineLevel="0" collapsed="false">
      <c r="A69" s="21" t="s">
        <v>83</v>
      </c>
    </row>
    <row r="70" customFormat="false" ht="15" hidden="false" customHeight="false" outlineLevel="0" collapsed="false">
      <c r="A70" s="21" t="s">
        <v>84</v>
      </c>
    </row>
    <row r="71" customFormat="false" ht="15" hidden="false" customHeight="false" outlineLevel="0" collapsed="false">
      <c r="A71" s="21" t="s">
        <v>85</v>
      </c>
    </row>
  </sheetData>
  <autoFilter ref="A11:L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2026-10-29T18:42:14Z</dcterms:created>
  <dc:creator>openpyxl</dc:creator>
  <dc:description/>
  <dc:language>en-US</dc:language>
  <cp:lastModifiedBy/>
  <dcterms:modified xsi:type="dcterms:W3CDTF">2026-10-29T18:42:14Z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