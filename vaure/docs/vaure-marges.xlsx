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ges" sheetId="1" state="visible" r:id="rId3"/>
  </sheets>
  <definedNames>
    <definedName function="false" hidden="true" localSheetId="0" name="_xlnm._FilterDatabase" vbProcedure="false">Marges!$A$9:$K$59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Micro-entreprise, vente de marchandises : 12,3 % + 0,1 % CFP. Je le vérifie sur mon espace URSSAF (si je suis déclaré en services, le taux est plus haut).</t>
        </r>
      </text>
    </comment>
    <comment ref="C5" authorId="0">
      <text>
        <r>
          <rPr>
            <sz val="10"/>
            <rFont val="Arial"/>
            <family val="2"/>
          </rPr>
          <t xml:space="preserve">Estimation Shopify Payments, carte européenne.</t>
        </r>
      </text>
    </comment>
    <comment ref="C6" authorId="0">
      <text>
        <r>
          <rPr>
            <sz val="10"/>
            <rFont val="Arial"/>
            <family val="2"/>
          </rPr>
          <t xml:space="preserve">Estimation Shopify Payments.</t>
        </r>
      </text>
    </comment>
    <comment ref="C7" authorId="0">
      <text>
        <r>
          <rPr>
            <sz val="10"/>
            <rFont val="Arial"/>
            <family val="2"/>
          </rPr>
          <t xml:space="preserve">Les deux remises ne se cumulent pas.</t>
        </r>
      </text>
    </comment>
    <comment ref="C9" authorId="0">
      <text>
        <r>
          <rPr>
            <sz val="10"/>
            <rFont val="Arial"/>
            <family val="2"/>
          </rPr>
          <t xml:space="preserve">Prix total CJ (Total Dropshipping Price) : bijou + livraison jusqu'à la cliente. Source : coût enregistré sur chaque fiche Shopify par CJ.</t>
        </r>
      </text>
    </comment>
  </commentList>
</comments>
</file>

<file path=xl/sharedStrings.xml><?xml version="1.0" encoding="utf-8"?>
<sst xmlns="http://schemas.openxmlformats.org/spreadsheetml/2006/main" count="126" uniqueCount="83">
  <si>
    <t xml:space="preserve">VAURE – Mes prix d'achat, mes prix de vente et mes marges</t>
  </si>
  <si>
    <t xml:space="preserve">Je modifie seulement les cellules en bleu : tout le reste se recalcule tout seul.</t>
  </si>
  <si>
    <t xml:space="preserve">Hypothèses</t>
  </si>
  <si>
    <t xml:space="preserve">Cotisations URSSAF (vente de marchandises + formation pro.)</t>
  </si>
  <si>
    <t xml:space="preserve">Frais de paiement Shopify (%)</t>
  </si>
  <si>
    <t xml:space="preserve">Frais de paiement Shopify (fixe par commande)</t>
  </si>
  <si>
    <t xml:space="preserve">Remise maximale (code VAURE10 ou offre duo)</t>
  </si>
  <si>
    <t xml:space="preserve">Produit</t>
  </si>
  <si>
    <t xml:space="preserve">Catégorie</t>
  </si>
  <si>
    <t xml:space="preserve">Achat CJ livré</t>
  </si>
  <si>
    <t xml:space="preserve">Prix de vente</t>
  </si>
  <si>
    <t xml:space="preserve">Marge brute</t>
  </si>
  <si>
    <t xml:space="preserve">URSSAF</t>
  </si>
  <si>
    <t xml:space="preserve">Frais de paiement</t>
  </si>
  <si>
    <t xml:space="preserve">Marge nette</t>
  </si>
  <si>
    <t xml:space="preserve">Marge nette %</t>
  </si>
  <si>
    <t xml:space="preserve">Prix avec −10 %</t>
  </si>
  <si>
    <t xml:space="preserve">Marge nette avec −10 %</t>
  </si>
  <si>
    <t xml:space="preserve">Bague Anneaux – Dorée</t>
  </si>
  <si>
    <t xml:space="preserve">Bagues</t>
  </si>
  <si>
    <t xml:space="preserve">Bague Chevalière Ovale – Argentée</t>
  </si>
  <si>
    <t xml:space="preserve">Bague Chevalière Ovale – Dorée</t>
  </si>
  <si>
    <t xml:space="preserve">Bague Double Vague – Argentée</t>
  </si>
  <si>
    <t xml:space="preserve">Bague Double Vague – Dorée</t>
  </si>
  <si>
    <t xml:space="preserve">Bague Maillons</t>
  </si>
  <si>
    <t xml:space="preserve">Bague Ovales – Argentée</t>
  </si>
  <si>
    <t xml:space="preserve">Bague Ovales – Dorée</t>
  </si>
  <si>
    <t xml:space="preserve">Bague Torsade – Argentée</t>
  </si>
  <si>
    <t xml:space="preserve">Bague Torsade – Dorée</t>
  </si>
  <si>
    <t xml:space="preserve">Bague Vague Fine – Argentée</t>
  </si>
  <si>
    <t xml:space="preserve">Bague Vague Fine – Dorée</t>
  </si>
  <si>
    <t xml:space="preserve">Bracelet Chaîne à Zircons</t>
  </si>
  <si>
    <t xml:space="preserve">Bracelets</t>
  </si>
  <si>
    <t xml:space="preserve">Bracelet Fin Étincelant</t>
  </si>
  <si>
    <t xml:space="preserve">Bracelet Fleur de Nacre</t>
  </si>
  <si>
    <t xml:space="preserve">Bracelet Fleur Réversible</t>
  </si>
  <si>
    <t xml:space="preserve">Bracelet Fleurs Ajourées – Blanche</t>
  </si>
  <si>
    <t xml:space="preserve">Bracelet Fleurs Ajourées – Dorée</t>
  </si>
  <si>
    <t xml:space="preserve">Bracelet Jonc Strié</t>
  </si>
  <si>
    <t xml:space="preserve">Bracelet Perles Dorées</t>
  </si>
  <si>
    <t xml:space="preserve">Bracelet Rivière</t>
  </si>
  <si>
    <t xml:space="preserve">Bracelet Tennis Navette</t>
  </si>
  <si>
    <t xml:space="preserve">Bracelet Tennis Ovales</t>
  </si>
  <si>
    <t xml:space="preserve">Bracelet Torsade Plate</t>
  </si>
  <si>
    <t xml:space="preserve">Chaîne Torsadée</t>
  </si>
  <si>
    <t xml:space="preserve">Colliers</t>
  </si>
  <si>
    <t xml:space="preserve">Collier Coquelicot</t>
  </si>
  <si>
    <t xml:space="preserve">Collier Double Rang Perles</t>
  </si>
  <si>
    <t xml:space="preserve">Collier Double Serpent</t>
  </si>
  <si>
    <t xml:space="preserve">Collier Fleur de Nacre</t>
  </si>
  <si>
    <t xml:space="preserve">Collier Lariat Double Rang</t>
  </si>
  <si>
    <t xml:space="preserve">Collier Lariat Zircons</t>
  </si>
  <si>
    <t xml:space="preserve">Collier Pendentif Navette</t>
  </si>
  <si>
    <t xml:space="preserve">Collier Perles Bleues</t>
  </si>
  <si>
    <t xml:space="preserve">Collier Serpent Plat – Argenté</t>
  </si>
  <si>
    <t xml:space="preserve">Collier Serpent Plat – Doré</t>
  </si>
  <si>
    <t xml:space="preserve">Collier Torsade Plate</t>
  </si>
  <si>
    <t xml:space="preserve">Collier Vague Zircons</t>
  </si>
  <si>
    <t xml:space="preserve">Puces Fleur de Nacre</t>
  </si>
  <si>
    <t xml:space="preserve">Boucles d'oreilles</t>
  </si>
  <si>
    <t xml:space="preserve">Trio de Créoles – Argenté</t>
  </si>
  <si>
    <t xml:space="preserve">Trio de Créoles – Doré</t>
  </si>
  <si>
    <t xml:space="preserve">Duo Fleur de Nacre</t>
  </si>
  <si>
    <t xml:space="preserve">Parures</t>
  </si>
  <si>
    <t xml:space="preserve">Parure Fleur de Nacre</t>
  </si>
  <si>
    <t xml:space="preserve">Pochette Demi-Lune – Noir</t>
  </si>
  <si>
    <t xml:space="preserve">Sacs</t>
  </si>
  <si>
    <t xml:space="preserve">Pochette Demi-Lune – Rouge vin</t>
  </si>
  <si>
    <t xml:space="preserve">Sac Demi-Lune Anse Sculptée – Noir</t>
  </si>
  <si>
    <t xml:space="preserve">Sac Demi-Lune Anse Sculptée – Rouge vin</t>
  </si>
  <si>
    <t xml:space="preserve">Ceinture Torsade – Beige</t>
  </si>
  <si>
    <t xml:space="preserve">Ceintures</t>
  </si>
  <si>
    <t xml:space="preserve">Ceinture Torsade – Bleu marine</t>
  </si>
  <si>
    <t xml:space="preserve">Ceinture Torsade – Chocolat</t>
  </si>
  <si>
    <t xml:space="preserve">Ceinture Torsade – Noir</t>
  </si>
  <si>
    <t xml:space="preserve">Moyenne</t>
  </si>
  <si>
    <t xml:space="preserve">Marge nette la plus basse</t>
  </si>
  <si>
    <t xml:space="preserve">À savoir</t>
  </si>
  <si>
    <t xml:space="preserve">Marge brute = prix de vente − achat CJ livré.</t>
  </si>
  <si>
    <t xml:space="preserve">Marge nette = ce qu'il me reste après URSSAF et frais de paiement (avant impôt sur le revenu et publicité).</t>
  </si>
  <si>
    <t xml:space="preserve">Je ne facture pas de TVA : je suis micro-entrepreneur en franchise de TVA (« TVA non applicable, art. 293 B du CGI »).</t>
  </si>
  <si>
    <t xml:space="preserve">Mes achats CJ sont comptés en euros. Si CJ me facture en dollars, je convertis le coût avant de le saisir.</t>
  </si>
  <si>
    <t xml:space="preserve">Je n'ai pas inclus le Sac Besace (4 couleurs) : il est en brouillon, stock à 0.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</si>
</sst>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#,##0.00&quot; €&quot;;\-#,##0.00&quot; €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444444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51412"/>
        <bgColor rgb="FF000000"/>
      </patternFill>
    </fill>
    <fill>
      <patternFill patternType="solid">
        <fgColor rgb="FFEFE9E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5141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EFE9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51412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3" min="3" style="1" width="15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C4" s="6" t="n">
        <v>0.124</v>
      </c>
    </row>
    <row r="5" customFormat="false" ht="15" hidden="false" customHeight="true" outlineLevel="0" collapsed="false">
      <c r="A5" s="5" t="s">
        <v>4</v>
      </c>
      <c r="C5" s="6" t="n">
        <v>0.015</v>
      </c>
    </row>
    <row r="6" customFormat="false" ht="15" hidden="false" customHeight="true" outlineLevel="0" collapsed="false">
      <c r="A6" s="5" t="s">
        <v>5</v>
      </c>
      <c r="C6" s="7" t="n">
        <v>0.25</v>
      </c>
    </row>
    <row r="7" customFormat="false" ht="15" hidden="false" customHeight="true" outlineLevel="0" collapsed="false">
      <c r="A7" s="5" t="s">
        <v>6</v>
      </c>
      <c r="C7" s="6" t="n">
        <v>0.1</v>
      </c>
    </row>
    <row r="9" customFormat="false" ht="31.5" hidden="false" customHeight="true" outlineLevel="0" collapsed="false">
      <c r="A9" s="8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8" t="s">
        <v>14</v>
      </c>
      <c r="I9" s="8" t="s">
        <v>15</v>
      </c>
      <c r="J9" s="8" t="s">
        <v>16</v>
      </c>
      <c r="K9" s="8" t="s">
        <v>17</v>
      </c>
    </row>
    <row r="10" customFormat="false" ht="15" hidden="false" customHeight="true" outlineLevel="0" collapsed="false">
      <c r="A10" s="9" t="s">
        <v>18</v>
      </c>
      <c r="B10" s="9" t="s">
        <v>19</v>
      </c>
      <c r="C10" s="10" t="n">
        <v>4.32</v>
      </c>
      <c r="D10" s="10" t="n">
        <v>23.9</v>
      </c>
      <c r="E10" s="11" t="n">
        <f aca="false">D10-C10</f>
        <v>19.58</v>
      </c>
      <c r="F10" s="11" t="n">
        <f aca="false">D10*$C$4</f>
        <v>2.9636</v>
      </c>
      <c r="G10" s="11" t="n">
        <f aca="false">D10*$C$5+$C$6</f>
        <v>0.6085</v>
      </c>
      <c r="H10" s="12" t="n">
        <f aca="false">D10-C10-F10-G10</f>
        <v>16.0079</v>
      </c>
      <c r="I10" s="13" t="n">
        <f aca="false">IF(D10=0,0,H10/D10)</f>
        <v>0.669786610878661</v>
      </c>
      <c r="J10" s="11" t="n">
        <f aca="false">D10*(1-$C$7)</f>
        <v>21.51</v>
      </c>
      <c r="K10" s="11" t="n">
        <f aca="false">J10-C10-J10*$C$4-(J10*$C$5+$C$6)</f>
        <v>13.95011</v>
      </c>
    </row>
    <row r="11" customFormat="false" ht="15" hidden="false" customHeight="true" outlineLevel="0" collapsed="false">
      <c r="A11" s="9" t="s">
        <v>20</v>
      </c>
      <c r="B11" s="9" t="s">
        <v>19</v>
      </c>
      <c r="C11" s="10" t="n">
        <v>4.3</v>
      </c>
      <c r="D11" s="10" t="n">
        <v>23.9</v>
      </c>
      <c r="E11" s="11" t="n">
        <f aca="false">D11-C11</f>
        <v>19.6</v>
      </c>
      <c r="F11" s="11" t="n">
        <f aca="false">D11*$C$4</f>
        <v>2.9636</v>
      </c>
      <c r="G11" s="11" t="n">
        <f aca="false">D11*$C$5+$C$6</f>
        <v>0.6085</v>
      </c>
      <c r="H11" s="12" t="n">
        <f aca="false">D11-C11-F11-G11</f>
        <v>16.0279</v>
      </c>
      <c r="I11" s="13" t="n">
        <f aca="false">IF(D11=0,0,H11/D11)</f>
        <v>0.670623430962343</v>
      </c>
      <c r="J11" s="11" t="n">
        <f aca="false">D11*(1-$C$7)</f>
        <v>21.51</v>
      </c>
      <c r="K11" s="11" t="n">
        <f aca="false">J11-C11-J11*$C$4-(J11*$C$5+$C$6)</f>
        <v>13.97011</v>
      </c>
    </row>
    <row r="12" customFormat="false" ht="15" hidden="false" customHeight="true" outlineLevel="0" collapsed="false">
      <c r="A12" s="9" t="s">
        <v>21</v>
      </c>
      <c r="B12" s="9" t="s">
        <v>19</v>
      </c>
      <c r="C12" s="10" t="n">
        <v>4.4</v>
      </c>
      <c r="D12" s="10" t="n">
        <v>23.9</v>
      </c>
      <c r="E12" s="11" t="n">
        <f aca="false">D12-C12</f>
        <v>19.5</v>
      </c>
      <c r="F12" s="11" t="n">
        <f aca="false">D12*$C$4</f>
        <v>2.9636</v>
      </c>
      <c r="G12" s="11" t="n">
        <f aca="false">D12*$C$5+$C$6</f>
        <v>0.6085</v>
      </c>
      <c r="H12" s="12" t="n">
        <f aca="false">D12-C12-F12-G12</f>
        <v>15.9279</v>
      </c>
      <c r="I12" s="13" t="n">
        <f aca="false">IF(D12=0,0,H12/D12)</f>
        <v>0.666439330543933</v>
      </c>
      <c r="J12" s="11" t="n">
        <f aca="false">D12*(1-$C$7)</f>
        <v>21.51</v>
      </c>
      <c r="K12" s="11" t="n">
        <f aca="false">J12-C12-J12*$C$4-(J12*$C$5+$C$6)</f>
        <v>13.87011</v>
      </c>
    </row>
    <row r="13" customFormat="false" ht="15" hidden="false" customHeight="true" outlineLevel="0" collapsed="false">
      <c r="A13" s="9" t="s">
        <v>22</v>
      </c>
      <c r="B13" s="9" t="s">
        <v>19</v>
      </c>
      <c r="C13" s="10" t="n">
        <v>4.21</v>
      </c>
      <c r="D13" s="10" t="n">
        <v>23.9</v>
      </c>
      <c r="E13" s="11" t="n">
        <f aca="false">D13-C13</f>
        <v>19.69</v>
      </c>
      <c r="F13" s="11" t="n">
        <f aca="false">D13*$C$4</f>
        <v>2.9636</v>
      </c>
      <c r="G13" s="11" t="n">
        <f aca="false">D13*$C$5+$C$6</f>
        <v>0.6085</v>
      </c>
      <c r="H13" s="12" t="n">
        <f aca="false">D13-C13-F13-G13</f>
        <v>16.1179</v>
      </c>
      <c r="I13" s="13" t="n">
        <f aca="false">IF(D13=0,0,H13/D13)</f>
        <v>0.674389121338912</v>
      </c>
      <c r="J13" s="11" t="n">
        <f aca="false">D13*(1-$C$7)</f>
        <v>21.51</v>
      </c>
      <c r="K13" s="11" t="n">
        <f aca="false">J13-C13-J13*$C$4-(J13*$C$5+$C$6)</f>
        <v>14.06011</v>
      </c>
    </row>
    <row r="14" customFormat="false" ht="15" hidden="false" customHeight="true" outlineLevel="0" collapsed="false">
      <c r="A14" s="9" t="s">
        <v>23</v>
      </c>
      <c r="B14" s="9" t="s">
        <v>19</v>
      </c>
      <c r="C14" s="10" t="n">
        <v>4.34</v>
      </c>
      <c r="D14" s="10" t="n">
        <v>23.9</v>
      </c>
      <c r="E14" s="11" t="n">
        <f aca="false">D14-C14</f>
        <v>19.56</v>
      </c>
      <c r="F14" s="11" t="n">
        <f aca="false">D14*$C$4</f>
        <v>2.9636</v>
      </c>
      <c r="G14" s="11" t="n">
        <f aca="false">D14*$C$5+$C$6</f>
        <v>0.6085</v>
      </c>
      <c r="H14" s="12" t="n">
        <f aca="false">D14-C14-F14-G14</f>
        <v>15.9879</v>
      </c>
      <c r="I14" s="13" t="n">
        <f aca="false">IF(D14=0,0,H14/D14)</f>
        <v>0.668949790794979</v>
      </c>
      <c r="J14" s="11" t="n">
        <f aca="false">D14*(1-$C$7)</f>
        <v>21.51</v>
      </c>
      <c r="K14" s="11" t="n">
        <f aca="false">J14-C14-J14*$C$4-(J14*$C$5+$C$6)</f>
        <v>13.93011</v>
      </c>
    </row>
    <row r="15" customFormat="false" ht="15" hidden="false" customHeight="true" outlineLevel="0" collapsed="false">
      <c r="A15" s="9" t="s">
        <v>24</v>
      </c>
      <c r="B15" s="9" t="s">
        <v>19</v>
      </c>
      <c r="C15" s="10" t="n">
        <v>5.61</v>
      </c>
      <c r="D15" s="10" t="n">
        <v>23.9</v>
      </c>
      <c r="E15" s="11" t="n">
        <f aca="false">D15-C15</f>
        <v>18.29</v>
      </c>
      <c r="F15" s="11" t="n">
        <f aca="false">D15*$C$4</f>
        <v>2.9636</v>
      </c>
      <c r="G15" s="11" t="n">
        <f aca="false">D15*$C$5+$C$6</f>
        <v>0.6085</v>
      </c>
      <c r="H15" s="12" t="n">
        <f aca="false">D15-C15-F15-G15</f>
        <v>14.7179</v>
      </c>
      <c r="I15" s="13" t="n">
        <f aca="false">IF(D15=0,0,H15/D15)</f>
        <v>0.615811715481172</v>
      </c>
      <c r="J15" s="11" t="n">
        <f aca="false">D15*(1-$C$7)</f>
        <v>21.51</v>
      </c>
      <c r="K15" s="11" t="n">
        <f aca="false">J15-C15-J15*$C$4-(J15*$C$5+$C$6)</f>
        <v>12.66011</v>
      </c>
    </row>
    <row r="16" customFormat="false" ht="15" hidden="false" customHeight="true" outlineLevel="0" collapsed="false">
      <c r="A16" s="9" t="s">
        <v>25</v>
      </c>
      <c r="B16" s="9" t="s">
        <v>19</v>
      </c>
      <c r="C16" s="10" t="n">
        <v>4.15</v>
      </c>
      <c r="D16" s="10" t="n">
        <v>23.9</v>
      </c>
      <c r="E16" s="11" t="n">
        <f aca="false">D16-C16</f>
        <v>19.75</v>
      </c>
      <c r="F16" s="11" t="n">
        <f aca="false">D16*$C$4</f>
        <v>2.9636</v>
      </c>
      <c r="G16" s="11" t="n">
        <f aca="false">D16*$C$5+$C$6</f>
        <v>0.6085</v>
      </c>
      <c r="H16" s="12" t="n">
        <f aca="false">D16-C16-F16-G16</f>
        <v>16.1779</v>
      </c>
      <c r="I16" s="13" t="n">
        <f aca="false">IF(D16=0,0,H16/D16)</f>
        <v>0.676899581589958</v>
      </c>
      <c r="J16" s="11" t="n">
        <f aca="false">D16*(1-$C$7)</f>
        <v>21.51</v>
      </c>
      <c r="K16" s="11" t="n">
        <f aca="false">J16-C16-J16*$C$4-(J16*$C$5+$C$6)</f>
        <v>14.12011</v>
      </c>
    </row>
    <row r="17" customFormat="false" ht="15" hidden="false" customHeight="true" outlineLevel="0" collapsed="false">
      <c r="A17" s="9" t="s">
        <v>26</v>
      </c>
      <c r="B17" s="9" t="s">
        <v>19</v>
      </c>
      <c r="C17" s="10" t="n">
        <v>4.18</v>
      </c>
      <c r="D17" s="10" t="n">
        <v>23.9</v>
      </c>
      <c r="E17" s="11" t="n">
        <f aca="false">D17-C17</f>
        <v>19.72</v>
      </c>
      <c r="F17" s="11" t="n">
        <f aca="false">D17*$C$4</f>
        <v>2.9636</v>
      </c>
      <c r="G17" s="11" t="n">
        <f aca="false">D17*$C$5+$C$6</f>
        <v>0.6085</v>
      </c>
      <c r="H17" s="12" t="n">
        <f aca="false">D17-C17-F17-G17</f>
        <v>16.1479</v>
      </c>
      <c r="I17" s="13" t="n">
        <f aca="false">IF(D17=0,0,H17/D17)</f>
        <v>0.675644351464435</v>
      </c>
      <c r="J17" s="11" t="n">
        <f aca="false">D17*(1-$C$7)</f>
        <v>21.51</v>
      </c>
      <c r="K17" s="11" t="n">
        <f aca="false">J17-C17-J17*$C$4-(J17*$C$5+$C$6)</f>
        <v>14.09011</v>
      </c>
    </row>
    <row r="18" customFormat="false" ht="15" hidden="false" customHeight="true" outlineLevel="0" collapsed="false">
      <c r="A18" s="9" t="s">
        <v>27</v>
      </c>
      <c r="B18" s="9" t="s">
        <v>19</v>
      </c>
      <c r="C18" s="10" t="n">
        <v>4.27</v>
      </c>
      <c r="D18" s="10" t="n">
        <v>23.9</v>
      </c>
      <c r="E18" s="11" t="n">
        <f aca="false">D18-C18</f>
        <v>19.63</v>
      </c>
      <c r="F18" s="11" t="n">
        <f aca="false">D18*$C$4</f>
        <v>2.9636</v>
      </c>
      <c r="G18" s="11" t="n">
        <f aca="false">D18*$C$5+$C$6</f>
        <v>0.6085</v>
      </c>
      <c r="H18" s="12" t="n">
        <f aca="false">D18-C18-F18-G18</f>
        <v>16.0579</v>
      </c>
      <c r="I18" s="13" t="n">
        <f aca="false">IF(D18=0,0,H18/D18)</f>
        <v>0.671878661087866</v>
      </c>
      <c r="J18" s="11" t="n">
        <f aca="false">D18*(1-$C$7)</f>
        <v>21.51</v>
      </c>
      <c r="K18" s="11" t="n">
        <f aca="false">J18-C18-J18*$C$4-(J18*$C$5+$C$6)</f>
        <v>14.00011</v>
      </c>
    </row>
    <row r="19" customFormat="false" ht="15" hidden="false" customHeight="true" outlineLevel="0" collapsed="false">
      <c r="A19" s="9" t="s">
        <v>28</v>
      </c>
      <c r="B19" s="9" t="s">
        <v>19</v>
      </c>
      <c r="C19" s="10" t="n">
        <v>4.31</v>
      </c>
      <c r="D19" s="10" t="n">
        <v>23.9</v>
      </c>
      <c r="E19" s="11" t="n">
        <f aca="false">D19-C19</f>
        <v>19.59</v>
      </c>
      <c r="F19" s="11" t="n">
        <f aca="false">D19*$C$4</f>
        <v>2.9636</v>
      </c>
      <c r="G19" s="11" t="n">
        <f aca="false">D19*$C$5+$C$6</f>
        <v>0.6085</v>
      </c>
      <c r="H19" s="12" t="n">
        <f aca="false">D19-C19-F19-G19</f>
        <v>16.0179</v>
      </c>
      <c r="I19" s="13" t="n">
        <f aca="false">IF(D19=0,0,H19/D19)</f>
        <v>0.670205020920502</v>
      </c>
      <c r="J19" s="11" t="n">
        <f aca="false">D19*(1-$C$7)</f>
        <v>21.51</v>
      </c>
      <c r="K19" s="11" t="n">
        <f aca="false">J19-C19-J19*$C$4-(J19*$C$5+$C$6)</f>
        <v>13.96011</v>
      </c>
    </row>
    <row r="20" customFormat="false" ht="15" hidden="false" customHeight="true" outlineLevel="0" collapsed="false">
      <c r="A20" s="9" t="s">
        <v>29</v>
      </c>
      <c r="B20" s="9" t="s">
        <v>19</v>
      </c>
      <c r="C20" s="10" t="n">
        <v>4.21</v>
      </c>
      <c r="D20" s="10" t="n">
        <v>23.9</v>
      </c>
      <c r="E20" s="11" t="n">
        <f aca="false">D20-C20</f>
        <v>19.69</v>
      </c>
      <c r="F20" s="11" t="n">
        <f aca="false">D20*$C$4</f>
        <v>2.9636</v>
      </c>
      <c r="G20" s="11" t="n">
        <f aca="false">D20*$C$5+$C$6</f>
        <v>0.6085</v>
      </c>
      <c r="H20" s="12" t="n">
        <f aca="false">D20-C20-F20-G20</f>
        <v>16.1179</v>
      </c>
      <c r="I20" s="13" t="n">
        <f aca="false">IF(D20=0,0,H20/D20)</f>
        <v>0.674389121338912</v>
      </c>
      <c r="J20" s="11" t="n">
        <f aca="false">D20*(1-$C$7)</f>
        <v>21.51</v>
      </c>
      <c r="K20" s="11" t="n">
        <f aca="false">J20-C20-J20*$C$4-(J20*$C$5+$C$6)</f>
        <v>14.06011</v>
      </c>
    </row>
    <row r="21" customFormat="false" ht="15" hidden="false" customHeight="true" outlineLevel="0" collapsed="false">
      <c r="A21" s="9" t="s">
        <v>30</v>
      </c>
      <c r="B21" s="9" t="s">
        <v>19</v>
      </c>
      <c r="C21" s="10" t="n">
        <v>4.29</v>
      </c>
      <c r="D21" s="10" t="n">
        <v>23.9</v>
      </c>
      <c r="E21" s="11" t="n">
        <f aca="false">D21-C21</f>
        <v>19.61</v>
      </c>
      <c r="F21" s="11" t="n">
        <f aca="false">D21*$C$4</f>
        <v>2.9636</v>
      </c>
      <c r="G21" s="11" t="n">
        <f aca="false">D21*$C$5+$C$6</f>
        <v>0.6085</v>
      </c>
      <c r="H21" s="12" t="n">
        <f aca="false">D21-C21-F21-G21</f>
        <v>16.0379</v>
      </c>
      <c r="I21" s="13" t="n">
        <f aca="false">IF(D21=0,0,H21/D21)</f>
        <v>0.671041841004184</v>
      </c>
      <c r="J21" s="11" t="n">
        <f aca="false">D21*(1-$C$7)</f>
        <v>21.51</v>
      </c>
      <c r="K21" s="11" t="n">
        <f aca="false">J21-C21-J21*$C$4-(J21*$C$5+$C$6)</f>
        <v>13.98011</v>
      </c>
    </row>
    <row r="22" customFormat="false" ht="15" hidden="false" customHeight="true" outlineLevel="0" collapsed="false">
      <c r="A22" s="9" t="s">
        <v>31</v>
      </c>
      <c r="B22" s="9" t="s">
        <v>32</v>
      </c>
      <c r="C22" s="10" t="n">
        <v>5.48</v>
      </c>
      <c r="D22" s="10" t="n">
        <v>23.9</v>
      </c>
      <c r="E22" s="11" t="n">
        <f aca="false">D22-C22</f>
        <v>18.42</v>
      </c>
      <c r="F22" s="11" t="n">
        <f aca="false">D22*$C$4</f>
        <v>2.9636</v>
      </c>
      <c r="G22" s="11" t="n">
        <f aca="false">D22*$C$5+$C$6</f>
        <v>0.6085</v>
      </c>
      <c r="H22" s="12" t="n">
        <f aca="false">D22-C22-F22-G22</f>
        <v>14.8479</v>
      </c>
      <c r="I22" s="13" t="n">
        <f aca="false">IF(D22=0,0,H22/D22)</f>
        <v>0.621251046025105</v>
      </c>
      <c r="J22" s="11" t="n">
        <f aca="false">D22*(1-$C$7)</f>
        <v>21.51</v>
      </c>
      <c r="K22" s="11" t="n">
        <f aca="false">J22-C22-J22*$C$4-(J22*$C$5+$C$6)</f>
        <v>12.79011</v>
      </c>
    </row>
    <row r="23" customFormat="false" ht="15" hidden="false" customHeight="true" outlineLevel="0" collapsed="false">
      <c r="A23" s="9" t="s">
        <v>33</v>
      </c>
      <c r="B23" s="9" t="s">
        <v>32</v>
      </c>
      <c r="C23" s="10" t="n">
        <v>4.25</v>
      </c>
      <c r="D23" s="10" t="n">
        <v>23.9</v>
      </c>
      <c r="E23" s="11" t="n">
        <f aca="false">D23-C23</f>
        <v>19.65</v>
      </c>
      <c r="F23" s="11" t="n">
        <f aca="false">D23*$C$4</f>
        <v>2.9636</v>
      </c>
      <c r="G23" s="11" t="n">
        <f aca="false">D23*$C$5+$C$6</f>
        <v>0.6085</v>
      </c>
      <c r="H23" s="12" t="n">
        <f aca="false">D23-C23-F23-G23</f>
        <v>16.0779</v>
      </c>
      <c r="I23" s="13" t="n">
        <f aca="false">IF(D23=0,0,H23/D23)</f>
        <v>0.672715481171548</v>
      </c>
      <c r="J23" s="11" t="n">
        <f aca="false">D23*(1-$C$7)</f>
        <v>21.51</v>
      </c>
      <c r="K23" s="11" t="n">
        <f aca="false">J23-C23-J23*$C$4-(J23*$C$5+$C$6)</f>
        <v>14.02011</v>
      </c>
    </row>
    <row r="24" customFormat="false" ht="15" hidden="false" customHeight="true" outlineLevel="0" collapsed="false">
      <c r="A24" s="9" t="s">
        <v>34</v>
      </c>
      <c r="B24" s="9" t="s">
        <v>32</v>
      </c>
      <c r="C24" s="10" t="n">
        <v>4.72</v>
      </c>
      <c r="D24" s="10" t="n">
        <v>27.9</v>
      </c>
      <c r="E24" s="11" t="n">
        <f aca="false">D24-C24</f>
        <v>23.18</v>
      </c>
      <c r="F24" s="11" t="n">
        <f aca="false">D24*$C$4</f>
        <v>3.4596</v>
      </c>
      <c r="G24" s="11" t="n">
        <f aca="false">D24*$C$5+$C$6</f>
        <v>0.6685</v>
      </c>
      <c r="H24" s="12" t="n">
        <f aca="false">D24-C24-F24-G24</f>
        <v>19.0519</v>
      </c>
      <c r="I24" s="13" t="n">
        <f aca="false">IF(D24=0,0,H24/D24)</f>
        <v>0.682863799283154</v>
      </c>
      <c r="J24" s="11" t="n">
        <f aca="false">D24*(1-$C$7)</f>
        <v>25.11</v>
      </c>
      <c r="K24" s="11" t="n">
        <f aca="false">J24-C24-J24*$C$4-(J24*$C$5+$C$6)</f>
        <v>16.64971</v>
      </c>
    </row>
    <row r="25" customFormat="false" ht="15" hidden="false" customHeight="true" outlineLevel="0" collapsed="false">
      <c r="A25" s="9" t="s">
        <v>35</v>
      </c>
      <c r="B25" s="9" t="s">
        <v>32</v>
      </c>
      <c r="C25" s="10" t="n">
        <v>4.58</v>
      </c>
      <c r="D25" s="10" t="n">
        <v>27.9</v>
      </c>
      <c r="E25" s="11" t="n">
        <f aca="false">D25-C25</f>
        <v>23.32</v>
      </c>
      <c r="F25" s="11" t="n">
        <f aca="false">D25*$C$4</f>
        <v>3.4596</v>
      </c>
      <c r="G25" s="11" t="n">
        <f aca="false">D25*$C$5+$C$6</f>
        <v>0.6685</v>
      </c>
      <c r="H25" s="12" t="n">
        <f aca="false">D25-C25-F25-G25</f>
        <v>19.1919</v>
      </c>
      <c r="I25" s="13" t="n">
        <f aca="false">IF(D25=0,0,H25/D25)</f>
        <v>0.687881720430107</v>
      </c>
      <c r="J25" s="11" t="n">
        <f aca="false">D25*(1-$C$7)</f>
        <v>25.11</v>
      </c>
      <c r="K25" s="11" t="n">
        <f aca="false">J25-C25-J25*$C$4-(J25*$C$5+$C$6)</f>
        <v>16.78971</v>
      </c>
    </row>
    <row r="26" customFormat="false" ht="15" hidden="false" customHeight="true" outlineLevel="0" collapsed="false">
      <c r="A26" s="9" t="s">
        <v>36</v>
      </c>
      <c r="B26" s="9" t="s">
        <v>32</v>
      </c>
      <c r="C26" s="10" t="n">
        <v>5.17</v>
      </c>
      <c r="D26" s="10" t="n">
        <v>27.9</v>
      </c>
      <c r="E26" s="11" t="n">
        <f aca="false">D26-C26</f>
        <v>22.73</v>
      </c>
      <c r="F26" s="11" t="n">
        <f aca="false">D26*$C$4</f>
        <v>3.4596</v>
      </c>
      <c r="G26" s="11" t="n">
        <f aca="false">D26*$C$5+$C$6</f>
        <v>0.6685</v>
      </c>
      <c r="H26" s="12" t="n">
        <f aca="false">D26-C26-F26-G26</f>
        <v>18.6019</v>
      </c>
      <c r="I26" s="13" t="n">
        <f aca="false">IF(D26=0,0,H26/D26)</f>
        <v>0.666734767025089</v>
      </c>
      <c r="J26" s="11" t="n">
        <f aca="false">D26*(1-$C$7)</f>
        <v>25.11</v>
      </c>
      <c r="K26" s="11" t="n">
        <f aca="false">J26-C26-J26*$C$4-(J26*$C$5+$C$6)</f>
        <v>16.19971</v>
      </c>
    </row>
    <row r="27" customFormat="false" ht="15" hidden="false" customHeight="true" outlineLevel="0" collapsed="false">
      <c r="A27" s="9" t="s">
        <v>37</v>
      </c>
      <c r="B27" s="9" t="s">
        <v>32</v>
      </c>
      <c r="C27" s="10" t="n">
        <v>5.17</v>
      </c>
      <c r="D27" s="10" t="n">
        <v>24.9</v>
      </c>
      <c r="E27" s="11" t="n">
        <f aca="false">D27-C27</f>
        <v>19.73</v>
      </c>
      <c r="F27" s="11" t="n">
        <f aca="false">D27*$C$4</f>
        <v>3.0876</v>
      </c>
      <c r="G27" s="11" t="n">
        <f aca="false">D27*$C$5+$C$6</f>
        <v>0.6235</v>
      </c>
      <c r="H27" s="12" t="n">
        <f aca="false">D27-C27-F27-G27</f>
        <v>16.0189</v>
      </c>
      <c r="I27" s="13" t="n">
        <f aca="false">IF(D27=0,0,H27/D27)</f>
        <v>0.643329317269076</v>
      </c>
      <c r="J27" s="11" t="n">
        <f aca="false">D27*(1-$C$7)</f>
        <v>22.41</v>
      </c>
      <c r="K27" s="11" t="n">
        <f aca="false">J27-C27-J27*$C$4-(J27*$C$5+$C$6)</f>
        <v>13.87501</v>
      </c>
    </row>
    <row r="28" customFormat="false" ht="15" hidden="false" customHeight="true" outlineLevel="0" collapsed="false">
      <c r="A28" s="9" t="s">
        <v>38</v>
      </c>
      <c r="B28" s="9" t="s">
        <v>32</v>
      </c>
      <c r="C28" s="10" t="n">
        <v>5.94</v>
      </c>
      <c r="D28" s="10" t="n">
        <v>27.9</v>
      </c>
      <c r="E28" s="11" t="n">
        <f aca="false">D28-C28</f>
        <v>21.96</v>
      </c>
      <c r="F28" s="11" t="n">
        <f aca="false">D28*$C$4</f>
        <v>3.4596</v>
      </c>
      <c r="G28" s="11" t="n">
        <f aca="false">D28*$C$5+$C$6</f>
        <v>0.6685</v>
      </c>
      <c r="H28" s="12" t="n">
        <f aca="false">D28-C28-F28-G28</f>
        <v>17.8319</v>
      </c>
      <c r="I28" s="13" t="n">
        <f aca="false">IF(D28=0,0,H28/D28)</f>
        <v>0.639136200716846</v>
      </c>
      <c r="J28" s="11" t="n">
        <f aca="false">D28*(1-$C$7)</f>
        <v>25.11</v>
      </c>
      <c r="K28" s="11" t="n">
        <f aca="false">J28-C28-J28*$C$4-(J28*$C$5+$C$6)</f>
        <v>15.42971</v>
      </c>
    </row>
    <row r="29" customFormat="false" ht="15" hidden="false" customHeight="true" outlineLevel="0" collapsed="false">
      <c r="A29" s="9" t="s">
        <v>39</v>
      </c>
      <c r="B29" s="9" t="s">
        <v>32</v>
      </c>
      <c r="C29" s="10" t="n">
        <v>5.66</v>
      </c>
      <c r="D29" s="10" t="n">
        <v>23.9</v>
      </c>
      <c r="E29" s="11" t="n">
        <f aca="false">D29-C29</f>
        <v>18.24</v>
      </c>
      <c r="F29" s="11" t="n">
        <f aca="false">D29*$C$4</f>
        <v>2.9636</v>
      </c>
      <c r="G29" s="11" t="n">
        <f aca="false">D29*$C$5+$C$6</f>
        <v>0.6085</v>
      </c>
      <c r="H29" s="12" t="n">
        <f aca="false">D29-C29-F29-G29</f>
        <v>14.6679</v>
      </c>
      <c r="I29" s="13" t="n">
        <f aca="false">IF(D29=0,0,H29/D29)</f>
        <v>0.613719665271967</v>
      </c>
      <c r="J29" s="11" t="n">
        <f aca="false">D29*(1-$C$7)</f>
        <v>21.51</v>
      </c>
      <c r="K29" s="11" t="n">
        <f aca="false">J29-C29-J29*$C$4-(J29*$C$5+$C$6)</f>
        <v>12.61011</v>
      </c>
    </row>
    <row r="30" customFormat="false" ht="15" hidden="false" customHeight="true" outlineLevel="0" collapsed="false">
      <c r="A30" s="9" t="s">
        <v>40</v>
      </c>
      <c r="B30" s="9" t="s">
        <v>32</v>
      </c>
      <c r="C30" s="10" t="n">
        <v>6.25</v>
      </c>
      <c r="D30" s="10" t="n">
        <v>29.9</v>
      </c>
      <c r="E30" s="11" t="n">
        <f aca="false">D30-C30</f>
        <v>23.65</v>
      </c>
      <c r="F30" s="11" t="n">
        <f aca="false">D30*$C$4</f>
        <v>3.7076</v>
      </c>
      <c r="G30" s="11" t="n">
        <f aca="false">D30*$C$5+$C$6</f>
        <v>0.6985</v>
      </c>
      <c r="H30" s="12" t="n">
        <f aca="false">D30-C30-F30-G30</f>
        <v>19.2439</v>
      </c>
      <c r="I30" s="13" t="n">
        <f aca="false">IF(D30=0,0,H30/D30)</f>
        <v>0.643608695652174</v>
      </c>
      <c r="J30" s="11" t="n">
        <f aca="false">D30*(1-$C$7)</f>
        <v>26.91</v>
      </c>
      <c r="K30" s="11" t="n">
        <f aca="false">J30-C30-J30*$C$4-(J30*$C$5+$C$6)</f>
        <v>16.66951</v>
      </c>
    </row>
    <row r="31" customFormat="false" ht="15" hidden="false" customHeight="true" outlineLevel="0" collapsed="false">
      <c r="A31" s="9" t="s">
        <v>41</v>
      </c>
      <c r="B31" s="9" t="s">
        <v>32</v>
      </c>
      <c r="C31" s="10" t="n">
        <v>6.7</v>
      </c>
      <c r="D31" s="10" t="n">
        <v>29.9</v>
      </c>
      <c r="E31" s="11" t="n">
        <f aca="false">D31-C31</f>
        <v>23.2</v>
      </c>
      <c r="F31" s="11" t="n">
        <f aca="false">D31*$C$4</f>
        <v>3.7076</v>
      </c>
      <c r="G31" s="11" t="n">
        <f aca="false">D31*$C$5+$C$6</f>
        <v>0.6985</v>
      </c>
      <c r="H31" s="12" t="n">
        <f aca="false">D31-C31-F31-G31</f>
        <v>18.7939</v>
      </c>
      <c r="I31" s="13" t="n">
        <f aca="false">IF(D31=0,0,H31/D31)</f>
        <v>0.628558528428094</v>
      </c>
      <c r="J31" s="11" t="n">
        <f aca="false">D31*(1-$C$7)</f>
        <v>26.91</v>
      </c>
      <c r="K31" s="11" t="n">
        <f aca="false">J31-C31-J31*$C$4-(J31*$C$5+$C$6)</f>
        <v>16.21951</v>
      </c>
    </row>
    <row r="32" customFormat="false" ht="15" hidden="false" customHeight="true" outlineLevel="0" collapsed="false">
      <c r="A32" s="9" t="s">
        <v>42</v>
      </c>
      <c r="B32" s="9" t="s">
        <v>32</v>
      </c>
      <c r="C32" s="10" t="n">
        <v>6.7</v>
      </c>
      <c r="D32" s="10" t="n">
        <v>29.9</v>
      </c>
      <c r="E32" s="11" t="n">
        <f aca="false">D32-C32</f>
        <v>23.2</v>
      </c>
      <c r="F32" s="11" t="n">
        <f aca="false">D32*$C$4</f>
        <v>3.7076</v>
      </c>
      <c r="G32" s="11" t="n">
        <f aca="false">D32*$C$5+$C$6</f>
        <v>0.6985</v>
      </c>
      <c r="H32" s="12" t="n">
        <f aca="false">D32-C32-F32-G32</f>
        <v>18.7939</v>
      </c>
      <c r="I32" s="13" t="n">
        <f aca="false">IF(D32=0,0,H32/D32)</f>
        <v>0.628558528428094</v>
      </c>
      <c r="J32" s="11" t="n">
        <f aca="false">D32*(1-$C$7)</f>
        <v>26.91</v>
      </c>
      <c r="K32" s="11" t="n">
        <f aca="false">J32-C32-J32*$C$4-(J32*$C$5+$C$6)</f>
        <v>16.21951</v>
      </c>
    </row>
    <row r="33" customFormat="false" ht="15" hidden="false" customHeight="true" outlineLevel="0" collapsed="false">
      <c r="A33" s="9" t="s">
        <v>43</v>
      </c>
      <c r="B33" s="9" t="s">
        <v>32</v>
      </c>
      <c r="C33" s="10" t="n">
        <v>4.22</v>
      </c>
      <c r="D33" s="10" t="n">
        <v>23.9</v>
      </c>
      <c r="E33" s="11" t="n">
        <f aca="false">D33-C33</f>
        <v>19.68</v>
      </c>
      <c r="F33" s="11" t="n">
        <f aca="false">D33*$C$4</f>
        <v>2.9636</v>
      </c>
      <c r="G33" s="11" t="n">
        <f aca="false">D33*$C$5+$C$6</f>
        <v>0.6085</v>
      </c>
      <c r="H33" s="12" t="n">
        <f aca="false">D33-C33-F33-G33</f>
        <v>16.1079</v>
      </c>
      <c r="I33" s="13" t="n">
        <f aca="false">IF(D33=0,0,H33/D33)</f>
        <v>0.673970711297071</v>
      </c>
      <c r="J33" s="11" t="n">
        <f aca="false">D33*(1-$C$7)</f>
        <v>21.51</v>
      </c>
      <c r="K33" s="11" t="n">
        <f aca="false">J33-C33-J33*$C$4-(J33*$C$5+$C$6)</f>
        <v>14.05011</v>
      </c>
    </row>
    <row r="34" customFormat="false" ht="15" hidden="false" customHeight="true" outlineLevel="0" collapsed="false">
      <c r="A34" s="9" t="s">
        <v>44</v>
      </c>
      <c r="B34" s="9" t="s">
        <v>45</v>
      </c>
      <c r="C34" s="10" t="n">
        <v>5.43</v>
      </c>
      <c r="D34" s="10" t="n">
        <v>23.9</v>
      </c>
      <c r="E34" s="11" t="n">
        <f aca="false">D34-C34</f>
        <v>18.47</v>
      </c>
      <c r="F34" s="11" t="n">
        <f aca="false">D34*$C$4</f>
        <v>2.9636</v>
      </c>
      <c r="G34" s="11" t="n">
        <f aca="false">D34*$C$5+$C$6</f>
        <v>0.6085</v>
      </c>
      <c r="H34" s="12" t="n">
        <f aca="false">D34-C34-F34-G34</f>
        <v>14.8979</v>
      </c>
      <c r="I34" s="13" t="n">
        <f aca="false">IF(D34=0,0,H34/D34)</f>
        <v>0.62334309623431</v>
      </c>
      <c r="J34" s="11" t="n">
        <f aca="false">D34*(1-$C$7)</f>
        <v>21.51</v>
      </c>
      <c r="K34" s="11" t="n">
        <f aca="false">J34-C34-J34*$C$4-(J34*$C$5+$C$6)</f>
        <v>12.84011</v>
      </c>
    </row>
    <row r="35" customFormat="false" ht="15" hidden="false" customHeight="true" outlineLevel="0" collapsed="false">
      <c r="A35" s="9" t="s">
        <v>46</v>
      </c>
      <c r="B35" s="9" t="s">
        <v>45</v>
      </c>
      <c r="C35" s="10" t="n">
        <v>7.54</v>
      </c>
      <c r="D35" s="10" t="n">
        <v>34.9</v>
      </c>
      <c r="E35" s="11" t="n">
        <f aca="false">D35-C35</f>
        <v>27.36</v>
      </c>
      <c r="F35" s="11" t="n">
        <f aca="false">D35*$C$4</f>
        <v>4.3276</v>
      </c>
      <c r="G35" s="11" t="n">
        <f aca="false">D35*$C$5+$C$6</f>
        <v>0.7735</v>
      </c>
      <c r="H35" s="12" t="n">
        <f aca="false">D35-C35-F35-G35</f>
        <v>22.2589</v>
      </c>
      <c r="I35" s="13" t="n">
        <f aca="false">IF(D35=0,0,H35/D35)</f>
        <v>0.637790830945559</v>
      </c>
      <c r="J35" s="11" t="n">
        <f aca="false">D35*(1-$C$7)</f>
        <v>31.41</v>
      </c>
      <c r="K35" s="11" t="n">
        <f aca="false">J35-C35-J35*$C$4-(J35*$C$5+$C$6)</f>
        <v>19.25401</v>
      </c>
    </row>
    <row r="36" customFormat="false" ht="15" hidden="false" customHeight="true" outlineLevel="0" collapsed="false">
      <c r="A36" s="9" t="s">
        <v>47</v>
      </c>
      <c r="B36" s="9" t="s">
        <v>45</v>
      </c>
      <c r="C36" s="10" t="n">
        <v>5.55</v>
      </c>
      <c r="D36" s="10" t="n">
        <v>27.9</v>
      </c>
      <c r="E36" s="11" t="n">
        <f aca="false">D36-C36</f>
        <v>22.35</v>
      </c>
      <c r="F36" s="11" t="n">
        <f aca="false">D36*$C$4</f>
        <v>3.4596</v>
      </c>
      <c r="G36" s="11" t="n">
        <f aca="false">D36*$C$5+$C$6</f>
        <v>0.6685</v>
      </c>
      <c r="H36" s="12" t="n">
        <f aca="false">D36-C36-F36-G36</f>
        <v>18.2219</v>
      </c>
      <c r="I36" s="13" t="n">
        <f aca="false">IF(D36=0,0,H36/D36)</f>
        <v>0.653114695340502</v>
      </c>
      <c r="J36" s="11" t="n">
        <f aca="false">D36*(1-$C$7)</f>
        <v>25.11</v>
      </c>
      <c r="K36" s="11" t="n">
        <f aca="false">J36-C36-J36*$C$4-(J36*$C$5+$C$6)</f>
        <v>15.81971</v>
      </c>
    </row>
    <row r="37" customFormat="false" ht="15" hidden="false" customHeight="true" outlineLevel="0" collapsed="false">
      <c r="A37" s="9" t="s">
        <v>48</v>
      </c>
      <c r="B37" s="9" t="s">
        <v>45</v>
      </c>
      <c r="C37" s="10" t="n">
        <v>5.73</v>
      </c>
      <c r="D37" s="10" t="n">
        <v>23.9</v>
      </c>
      <c r="E37" s="11" t="n">
        <f aca="false">D37-C37</f>
        <v>18.17</v>
      </c>
      <c r="F37" s="11" t="n">
        <f aca="false">D37*$C$4</f>
        <v>2.9636</v>
      </c>
      <c r="G37" s="11" t="n">
        <f aca="false">D37*$C$5+$C$6</f>
        <v>0.6085</v>
      </c>
      <c r="H37" s="12" t="n">
        <f aca="false">D37-C37-F37-G37</f>
        <v>14.5979</v>
      </c>
      <c r="I37" s="13" t="n">
        <f aca="false">IF(D37=0,0,H37/D37)</f>
        <v>0.61079079497908</v>
      </c>
      <c r="J37" s="11" t="n">
        <f aca="false">D37*(1-$C$7)</f>
        <v>21.51</v>
      </c>
      <c r="K37" s="11" t="n">
        <f aca="false">J37-C37-J37*$C$4-(J37*$C$5+$C$6)</f>
        <v>12.54011</v>
      </c>
    </row>
    <row r="38" customFormat="false" ht="15" hidden="false" customHeight="true" outlineLevel="0" collapsed="false">
      <c r="A38" s="9" t="s">
        <v>49</v>
      </c>
      <c r="B38" s="9" t="s">
        <v>45</v>
      </c>
      <c r="C38" s="10" t="n">
        <v>4.8</v>
      </c>
      <c r="D38" s="10" t="n">
        <v>27.9</v>
      </c>
      <c r="E38" s="11" t="n">
        <f aca="false">D38-C38</f>
        <v>23.1</v>
      </c>
      <c r="F38" s="11" t="n">
        <f aca="false">D38*$C$4</f>
        <v>3.4596</v>
      </c>
      <c r="G38" s="11" t="n">
        <f aca="false">D38*$C$5+$C$6</f>
        <v>0.6685</v>
      </c>
      <c r="H38" s="12" t="n">
        <f aca="false">D38-C38-F38-G38</f>
        <v>18.9719</v>
      </c>
      <c r="I38" s="13" t="n">
        <f aca="false">IF(D38=0,0,H38/D38)</f>
        <v>0.679996415770609</v>
      </c>
      <c r="J38" s="11" t="n">
        <f aca="false">D38*(1-$C$7)</f>
        <v>25.11</v>
      </c>
      <c r="K38" s="11" t="n">
        <f aca="false">J38-C38-J38*$C$4-(J38*$C$5+$C$6)</f>
        <v>16.56971</v>
      </c>
    </row>
    <row r="39" customFormat="false" ht="15" hidden="false" customHeight="true" outlineLevel="0" collapsed="false">
      <c r="A39" s="9" t="s">
        <v>50</v>
      </c>
      <c r="B39" s="9" t="s">
        <v>45</v>
      </c>
      <c r="C39" s="10" t="n">
        <v>5.62</v>
      </c>
      <c r="D39" s="10" t="n">
        <v>27.9</v>
      </c>
      <c r="E39" s="11" t="n">
        <f aca="false">D39-C39</f>
        <v>22.28</v>
      </c>
      <c r="F39" s="11" t="n">
        <f aca="false">D39*$C$4</f>
        <v>3.4596</v>
      </c>
      <c r="G39" s="11" t="n">
        <f aca="false">D39*$C$5+$C$6</f>
        <v>0.6685</v>
      </c>
      <c r="H39" s="12" t="n">
        <f aca="false">D39-C39-F39-G39</f>
        <v>18.1519</v>
      </c>
      <c r="I39" s="13" t="n">
        <f aca="false">IF(D39=0,0,H39/D39)</f>
        <v>0.650605734767025</v>
      </c>
      <c r="J39" s="11" t="n">
        <f aca="false">D39*(1-$C$7)</f>
        <v>25.11</v>
      </c>
      <c r="K39" s="11" t="n">
        <f aca="false">J39-C39-J39*$C$4-(J39*$C$5+$C$6)</f>
        <v>15.74971</v>
      </c>
    </row>
    <row r="40" customFormat="false" ht="15" hidden="false" customHeight="true" outlineLevel="0" collapsed="false">
      <c r="A40" s="9" t="s">
        <v>51</v>
      </c>
      <c r="B40" s="9" t="s">
        <v>45</v>
      </c>
      <c r="C40" s="10" t="n">
        <v>5.2</v>
      </c>
      <c r="D40" s="10" t="n">
        <v>27.9</v>
      </c>
      <c r="E40" s="11" t="n">
        <f aca="false">D40-C40</f>
        <v>22.7</v>
      </c>
      <c r="F40" s="11" t="n">
        <f aca="false">D40*$C$4</f>
        <v>3.4596</v>
      </c>
      <c r="G40" s="11" t="n">
        <f aca="false">D40*$C$5+$C$6</f>
        <v>0.6685</v>
      </c>
      <c r="H40" s="12" t="n">
        <f aca="false">D40-C40-F40-G40</f>
        <v>18.5719</v>
      </c>
      <c r="I40" s="13" t="n">
        <f aca="false">IF(D40=0,0,H40/D40)</f>
        <v>0.665659498207885</v>
      </c>
      <c r="J40" s="11" t="n">
        <f aca="false">D40*(1-$C$7)</f>
        <v>25.11</v>
      </c>
      <c r="K40" s="11" t="n">
        <f aca="false">J40-C40-J40*$C$4-(J40*$C$5+$C$6)</f>
        <v>16.16971</v>
      </c>
    </row>
    <row r="41" customFormat="false" ht="15" hidden="false" customHeight="true" outlineLevel="0" collapsed="false">
      <c r="A41" s="9" t="s">
        <v>52</v>
      </c>
      <c r="B41" s="9" t="s">
        <v>45</v>
      </c>
      <c r="C41" s="10" t="n">
        <v>5.29</v>
      </c>
      <c r="D41" s="10" t="n">
        <v>27.9</v>
      </c>
      <c r="E41" s="11" t="n">
        <f aca="false">D41-C41</f>
        <v>22.61</v>
      </c>
      <c r="F41" s="11" t="n">
        <f aca="false">D41*$C$4</f>
        <v>3.4596</v>
      </c>
      <c r="G41" s="11" t="n">
        <f aca="false">D41*$C$5+$C$6</f>
        <v>0.6685</v>
      </c>
      <c r="H41" s="12" t="n">
        <f aca="false">D41-C41-F41-G41</f>
        <v>18.4819</v>
      </c>
      <c r="I41" s="13" t="n">
        <f aca="false">IF(D41=0,0,H41/D41)</f>
        <v>0.662433691756272</v>
      </c>
      <c r="J41" s="11" t="n">
        <f aca="false">D41*(1-$C$7)</f>
        <v>25.11</v>
      </c>
      <c r="K41" s="11" t="n">
        <f aca="false">J41-C41-J41*$C$4-(J41*$C$5+$C$6)</f>
        <v>16.07971</v>
      </c>
    </row>
    <row r="42" customFormat="false" ht="15" hidden="false" customHeight="true" outlineLevel="0" collapsed="false">
      <c r="A42" s="9" t="s">
        <v>53</v>
      </c>
      <c r="B42" s="9" t="s">
        <v>45</v>
      </c>
      <c r="C42" s="10" t="n">
        <v>4.62</v>
      </c>
      <c r="D42" s="10" t="n">
        <v>24.9</v>
      </c>
      <c r="E42" s="11" t="n">
        <f aca="false">D42-C42</f>
        <v>20.28</v>
      </c>
      <c r="F42" s="11" t="n">
        <f aca="false">D42*$C$4</f>
        <v>3.0876</v>
      </c>
      <c r="G42" s="11" t="n">
        <f aca="false">D42*$C$5+$C$6</f>
        <v>0.6235</v>
      </c>
      <c r="H42" s="12" t="n">
        <f aca="false">D42-C42-F42-G42</f>
        <v>16.5689</v>
      </c>
      <c r="I42" s="13" t="n">
        <f aca="false">IF(D42=0,0,H42/D42)</f>
        <v>0.665417670682731</v>
      </c>
      <c r="J42" s="11" t="n">
        <f aca="false">D42*(1-$C$7)</f>
        <v>22.41</v>
      </c>
      <c r="K42" s="11" t="n">
        <f aca="false">J42-C42-J42*$C$4-(J42*$C$5+$C$6)</f>
        <v>14.42501</v>
      </c>
    </row>
    <row r="43" customFormat="false" ht="15" hidden="false" customHeight="true" outlineLevel="0" collapsed="false">
      <c r="A43" s="9" t="s">
        <v>54</v>
      </c>
      <c r="B43" s="9" t="s">
        <v>45</v>
      </c>
      <c r="C43" s="10" t="n">
        <v>4.9</v>
      </c>
      <c r="D43" s="10" t="n">
        <v>23.9</v>
      </c>
      <c r="E43" s="11" t="n">
        <f aca="false">D43-C43</f>
        <v>19</v>
      </c>
      <c r="F43" s="11" t="n">
        <f aca="false">D43*$C$4</f>
        <v>2.9636</v>
      </c>
      <c r="G43" s="11" t="n">
        <f aca="false">D43*$C$5+$C$6</f>
        <v>0.6085</v>
      </c>
      <c r="H43" s="12" t="n">
        <f aca="false">D43-C43-F43-G43</f>
        <v>15.4279</v>
      </c>
      <c r="I43" s="13" t="n">
        <f aca="false">IF(D43=0,0,H43/D43)</f>
        <v>0.645518828451883</v>
      </c>
      <c r="J43" s="11" t="n">
        <f aca="false">D43*(1-$C$7)</f>
        <v>21.51</v>
      </c>
      <c r="K43" s="11" t="n">
        <f aca="false">J43-C43-J43*$C$4-(J43*$C$5+$C$6)</f>
        <v>13.37011</v>
      </c>
    </row>
    <row r="44" customFormat="false" ht="15" hidden="false" customHeight="true" outlineLevel="0" collapsed="false">
      <c r="A44" s="9" t="s">
        <v>55</v>
      </c>
      <c r="B44" s="9" t="s">
        <v>45</v>
      </c>
      <c r="C44" s="10" t="n">
        <v>5.29</v>
      </c>
      <c r="D44" s="10" t="n">
        <v>23.9</v>
      </c>
      <c r="E44" s="11" t="n">
        <f aca="false">D44-C44</f>
        <v>18.61</v>
      </c>
      <c r="F44" s="11" t="n">
        <f aca="false">D44*$C$4</f>
        <v>2.9636</v>
      </c>
      <c r="G44" s="11" t="n">
        <f aca="false">D44*$C$5+$C$6</f>
        <v>0.6085</v>
      </c>
      <c r="H44" s="12" t="n">
        <f aca="false">D44-C44-F44-G44</f>
        <v>15.0379</v>
      </c>
      <c r="I44" s="13" t="n">
        <f aca="false">IF(D44=0,0,H44/D44)</f>
        <v>0.629200836820084</v>
      </c>
      <c r="J44" s="11" t="n">
        <f aca="false">D44*(1-$C$7)</f>
        <v>21.51</v>
      </c>
      <c r="K44" s="11" t="n">
        <f aca="false">J44-C44-J44*$C$4-(J44*$C$5+$C$6)</f>
        <v>12.98011</v>
      </c>
    </row>
    <row r="45" customFormat="false" ht="15" hidden="false" customHeight="true" outlineLevel="0" collapsed="false">
      <c r="A45" s="9" t="s">
        <v>56</v>
      </c>
      <c r="B45" s="9" t="s">
        <v>45</v>
      </c>
      <c r="C45" s="10" t="n">
        <v>4.43</v>
      </c>
      <c r="D45" s="10" t="n">
        <v>23.9</v>
      </c>
      <c r="E45" s="11" t="n">
        <f aca="false">D45-C45</f>
        <v>19.47</v>
      </c>
      <c r="F45" s="11" t="n">
        <f aca="false">D45*$C$4</f>
        <v>2.9636</v>
      </c>
      <c r="G45" s="11" t="n">
        <f aca="false">D45*$C$5+$C$6</f>
        <v>0.6085</v>
      </c>
      <c r="H45" s="12" t="n">
        <f aca="false">D45-C45-F45-G45</f>
        <v>15.8979</v>
      </c>
      <c r="I45" s="13" t="n">
        <f aca="false">IF(D45=0,0,H45/D45)</f>
        <v>0.66518410041841</v>
      </c>
      <c r="J45" s="11" t="n">
        <f aca="false">D45*(1-$C$7)</f>
        <v>21.51</v>
      </c>
      <c r="K45" s="11" t="n">
        <f aca="false">J45-C45-J45*$C$4-(J45*$C$5+$C$6)</f>
        <v>13.84011</v>
      </c>
    </row>
    <row r="46" customFormat="false" ht="15" hidden="false" customHeight="true" outlineLevel="0" collapsed="false">
      <c r="A46" s="9" t="s">
        <v>57</v>
      </c>
      <c r="B46" s="9" t="s">
        <v>45</v>
      </c>
      <c r="C46" s="10" t="n">
        <v>5.11</v>
      </c>
      <c r="D46" s="10" t="n">
        <v>27.9</v>
      </c>
      <c r="E46" s="11" t="n">
        <f aca="false">D46-C46</f>
        <v>22.79</v>
      </c>
      <c r="F46" s="11" t="n">
        <f aca="false">D46*$C$4</f>
        <v>3.4596</v>
      </c>
      <c r="G46" s="11" t="n">
        <f aca="false">D46*$C$5+$C$6</f>
        <v>0.6685</v>
      </c>
      <c r="H46" s="12" t="n">
        <f aca="false">D46-C46-F46-G46</f>
        <v>18.6619</v>
      </c>
      <c r="I46" s="13" t="n">
        <f aca="false">IF(D46=0,0,H46/D46)</f>
        <v>0.668885304659498</v>
      </c>
      <c r="J46" s="11" t="n">
        <f aca="false">D46*(1-$C$7)</f>
        <v>25.11</v>
      </c>
      <c r="K46" s="11" t="n">
        <f aca="false">J46-C46-J46*$C$4-(J46*$C$5+$C$6)</f>
        <v>16.25971</v>
      </c>
    </row>
    <row r="47" customFormat="false" ht="15" hidden="false" customHeight="true" outlineLevel="0" collapsed="false">
      <c r="A47" s="9" t="s">
        <v>58</v>
      </c>
      <c r="B47" s="9" t="s">
        <v>59</v>
      </c>
      <c r="C47" s="10" t="n">
        <v>4.28</v>
      </c>
      <c r="D47" s="10" t="n">
        <v>23.9</v>
      </c>
      <c r="E47" s="11" t="n">
        <f aca="false">D47-C47</f>
        <v>19.62</v>
      </c>
      <c r="F47" s="11" t="n">
        <f aca="false">D47*$C$4</f>
        <v>2.9636</v>
      </c>
      <c r="G47" s="11" t="n">
        <f aca="false">D47*$C$5+$C$6</f>
        <v>0.6085</v>
      </c>
      <c r="H47" s="12" t="n">
        <f aca="false">D47-C47-F47-G47</f>
        <v>16.0479</v>
      </c>
      <c r="I47" s="13" t="n">
        <f aca="false">IF(D47=0,0,H47/D47)</f>
        <v>0.671460251046025</v>
      </c>
      <c r="J47" s="11" t="n">
        <f aca="false">D47*(1-$C$7)</f>
        <v>21.51</v>
      </c>
      <c r="K47" s="11" t="n">
        <f aca="false">J47-C47-J47*$C$4-(J47*$C$5+$C$6)</f>
        <v>13.99011</v>
      </c>
    </row>
    <row r="48" customFormat="false" ht="15" hidden="false" customHeight="true" outlineLevel="0" collapsed="false">
      <c r="A48" s="9" t="s">
        <v>60</v>
      </c>
      <c r="B48" s="9" t="s">
        <v>59</v>
      </c>
      <c r="C48" s="10" t="n">
        <v>5.41</v>
      </c>
      <c r="D48" s="10" t="n">
        <v>29.9</v>
      </c>
      <c r="E48" s="11" t="n">
        <f aca="false">D48-C48</f>
        <v>24.49</v>
      </c>
      <c r="F48" s="11" t="n">
        <f aca="false">D48*$C$4</f>
        <v>3.7076</v>
      </c>
      <c r="G48" s="11" t="n">
        <f aca="false">D48*$C$5+$C$6</f>
        <v>0.6985</v>
      </c>
      <c r="H48" s="12" t="n">
        <f aca="false">D48-C48-F48-G48</f>
        <v>20.0839</v>
      </c>
      <c r="I48" s="13" t="n">
        <f aca="false">IF(D48=0,0,H48/D48)</f>
        <v>0.671702341137124</v>
      </c>
      <c r="J48" s="11" t="n">
        <f aca="false">D48*(1-$C$7)</f>
        <v>26.91</v>
      </c>
      <c r="K48" s="11" t="n">
        <f aca="false">J48-C48-J48*$C$4-(J48*$C$5+$C$6)</f>
        <v>17.50951</v>
      </c>
    </row>
    <row r="49" customFormat="false" ht="15" hidden="false" customHeight="true" outlineLevel="0" collapsed="false">
      <c r="A49" s="9" t="s">
        <v>61</v>
      </c>
      <c r="B49" s="9" t="s">
        <v>59</v>
      </c>
      <c r="C49" s="10" t="n">
        <v>6.23</v>
      </c>
      <c r="D49" s="10" t="n">
        <v>29.9</v>
      </c>
      <c r="E49" s="11" t="n">
        <f aca="false">D49-C49</f>
        <v>23.67</v>
      </c>
      <c r="F49" s="11" t="n">
        <f aca="false">D49*$C$4</f>
        <v>3.7076</v>
      </c>
      <c r="G49" s="11" t="n">
        <f aca="false">D49*$C$5+$C$6</f>
        <v>0.6985</v>
      </c>
      <c r="H49" s="12" t="n">
        <f aca="false">D49-C49-F49-G49</f>
        <v>19.2639</v>
      </c>
      <c r="I49" s="13" t="n">
        <f aca="false">IF(D49=0,0,H49/D49)</f>
        <v>0.644277591973244</v>
      </c>
      <c r="J49" s="11" t="n">
        <f aca="false">D49*(1-$C$7)</f>
        <v>26.91</v>
      </c>
      <c r="K49" s="11" t="n">
        <f aca="false">J49-C49-J49*$C$4-(J49*$C$5+$C$6)</f>
        <v>16.68951</v>
      </c>
    </row>
    <row r="50" customFormat="false" ht="15" hidden="false" customHeight="true" outlineLevel="0" collapsed="false">
      <c r="A50" s="9" t="s">
        <v>62</v>
      </c>
      <c r="B50" s="9" t="s">
        <v>63</v>
      </c>
      <c r="C50" s="10" t="n">
        <v>5.73</v>
      </c>
      <c r="D50" s="10" t="n">
        <v>44.9</v>
      </c>
      <c r="E50" s="11" t="n">
        <f aca="false">D50-C50</f>
        <v>39.17</v>
      </c>
      <c r="F50" s="11" t="n">
        <f aca="false">D50*$C$4</f>
        <v>5.5676</v>
      </c>
      <c r="G50" s="11" t="n">
        <f aca="false">D50*$C$5+$C$6</f>
        <v>0.9235</v>
      </c>
      <c r="H50" s="12" t="n">
        <f aca="false">D50-C50-F50-G50</f>
        <v>32.6789</v>
      </c>
      <c r="I50" s="13" t="n">
        <f aca="false">IF(D50=0,0,H50/D50)</f>
        <v>0.727815144766147</v>
      </c>
      <c r="J50" s="11" t="n">
        <f aca="false">D50*(1-$C$7)</f>
        <v>40.41</v>
      </c>
      <c r="K50" s="11" t="n">
        <f aca="false">J50-C50-J50*$C$4-(J50*$C$5+$C$6)</f>
        <v>28.81301</v>
      </c>
    </row>
    <row r="51" customFormat="false" ht="15" hidden="false" customHeight="true" outlineLevel="0" collapsed="false">
      <c r="A51" s="9" t="s">
        <v>64</v>
      </c>
      <c r="B51" s="9" t="s">
        <v>63</v>
      </c>
      <c r="C51" s="10" t="n">
        <v>6.67</v>
      </c>
      <c r="D51" s="10" t="n">
        <v>59.9</v>
      </c>
      <c r="E51" s="11" t="n">
        <f aca="false">D51-C51</f>
        <v>53.23</v>
      </c>
      <c r="F51" s="11" t="n">
        <f aca="false">D51*$C$4</f>
        <v>7.4276</v>
      </c>
      <c r="G51" s="11" t="n">
        <f aca="false">D51*$C$5+$C$6</f>
        <v>1.1485</v>
      </c>
      <c r="H51" s="12" t="n">
        <f aca="false">D51-C51-F51-G51</f>
        <v>44.6539</v>
      </c>
      <c r="I51" s="13" t="n">
        <f aca="false">IF(D51=0,0,H51/D51)</f>
        <v>0.745474123539232</v>
      </c>
      <c r="J51" s="11" t="n">
        <f aca="false">D51*(1-$C$7)</f>
        <v>53.91</v>
      </c>
      <c r="K51" s="11" t="n">
        <f aca="false">J51-C51-J51*$C$4-(J51*$C$5+$C$6)</f>
        <v>39.49651</v>
      </c>
    </row>
    <row r="52" customFormat="false" ht="15" hidden="false" customHeight="true" outlineLevel="0" collapsed="false">
      <c r="A52" s="9" t="s">
        <v>65</v>
      </c>
      <c r="B52" s="9" t="s">
        <v>66</v>
      </c>
      <c r="C52" s="10" t="n">
        <v>11.19</v>
      </c>
      <c r="D52" s="10" t="n">
        <v>49.9</v>
      </c>
      <c r="E52" s="11" t="n">
        <f aca="false">D52-C52</f>
        <v>38.71</v>
      </c>
      <c r="F52" s="11" t="n">
        <f aca="false">D52*$C$4</f>
        <v>6.1876</v>
      </c>
      <c r="G52" s="11" t="n">
        <f aca="false">D52*$C$5+$C$6</f>
        <v>0.9985</v>
      </c>
      <c r="H52" s="12" t="n">
        <f aca="false">D52-C52-F52-G52</f>
        <v>31.5239</v>
      </c>
      <c r="I52" s="13" t="n">
        <f aca="false">IF(D52=0,0,H52/D52)</f>
        <v>0.631741482965932</v>
      </c>
      <c r="J52" s="11" t="n">
        <f aca="false">D52*(1-$C$7)</f>
        <v>44.91</v>
      </c>
      <c r="K52" s="11" t="n">
        <f aca="false">J52-C52-J52*$C$4-(J52*$C$5+$C$6)</f>
        <v>27.22751</v>
      </c>
    </row>
    <row r="53" customFormat="false" ht="15" hidden="false" customHeight="true" outlineLevel="0" collapsed="false">
      <c r="A53" s="9" t="s">
        <v>67</v>
      </c>
      <c r="B53" s="9" t="s">
        <v>66</v>
      </c>
      <c r="C53" s="10" t="n">
        <v>11.19</v>
      </c>
      <c r="D53" s="10" t="n">
        <v>49.9</v>
      </c>
      <c r="E53" s="11" t="n">
        <f aca="false">D53-C53</f>
        <v>38.71</v>
      </c>
      <c r="F53" s="11" t="n">
        <f aca="false">D53*$C$4</f>
        <v>6.1876</v>
      </c>
      <c r="G53" s="11" t="n">
        <f aca="false">D53*$C$5+$C$6</f>
        <v>0.9985</v>
      </c>
      <c r="H53" s="12" t="n">
        <f aca="false">D53-C53-F53-G53</f>
        <v>31.5239</v>
      </c>
      <c r="I53" s="13" t="n">
        <f aca="false">IF(D53=0,0,H53/D53)</f>
        <v>0.631741482965932</v>
      </c>
      <c r="J53" s="11" t="n">
        <f aca="false">D53*(1-$C$7)</f>
        <v>44.91</v>
      </c>
      <c r="K53" s="11" t="n">
        <f aca="false">J53-C53-J53*$C$4-(J53*$C$5+$C$6)</f>
        <v>27.22751</v>
      </c>
    </row>
    <row r="54" customFormat="false" ht="15" hidden="false" customHeight="true" outlineLevel="0" collapsed="false">
      <c r="A54" s="9" t="s">
        <v>68</v>
      </c>
      <c r="B54" s="9" t="s">
        <v>66</v>
      </c>
      <c r="C54" s="10" t="n">
        <v>12.99</v>
      </c>
      <c r="D54" s="10" t="n">
        <v>54.9</v>
      </c>
      <c r="E54" s="11" t="n">
        <f aca="false">D54-C54</f>
        <v>41.91</v>
      </c>
      <c r="F54" s="11" t="n">
        <f aca="false">D54*$C$4</f>
        <v>6.8076</v>
      </c>
      <c r="G54" s="11" t="n">
        <f aca="false">D54*$C$5+$C$6</f>
        <v>1.0735</v>
      </c>
      <c r="H54" s="12" t="n">
        <f aca="false">D54-C54-F54-G54</f>
        <v>34.0289</v>
      </c>
      <c r="I54" s="13" t="n">
        <f aca="false">IF(D54=0,0,H54/D54)</f>
        <v>0.619834244080146</v>
      </c>
      <c r="J54" s="11" t="n">
        <f aca="false">D54*(1-$C$7)</f>
        <v>49.41</v>
      </c>
      <c r="K54" s="11" t="n">
        <f aca="false">J54-C54-J54*$C$4-(J54*$C$5+$C$6)</f>
        <v>29.30201</v>
      </c>
    </row>
    <row r="55" customFormat="false" ht="15" hidden="false" customHeight="true" outlineLevel="0" collapsed="false">
      <c r="A55" s="9" t="s">
        <v>69</v>
      </c>
      <c r="B55" s="9" t="s">
        <v>66</v>
      </c>
      <c r="C55" s="10" t="n">
        <v>12.99</v>
      </c>
      <c r="D55" s="10" t="n">
        <v>54.9</v>
      </c>
      <c r="E55" s="11" t="n">
        <f aca="false">D55-C55</f>
        <v>41.91</v>
      </c>
      <c r="F55" s="11" t="n">
        <f aca="false">D55*$C$4</f>
        <v>6.8076</v>
      </c>
      <c r="G55" s="11" t="n">
        <f aca="false">D55*$C$5+$C$6</f>
        <v>1.0735</v>
      </c>
      <c r="H55" s="12" t="n">
        <f aca="false">D55-C55-F55-G55</f>
        <v>34.0289</v>
      </c>
      <c r="I55" s="13" t="n">
        <f aca="false">IF(D55=0,0,H55/D55)</f>
        <v>0.619834244080146</v>
      </c>
      <c r="J55" s="11" t="n">
        <f aca="false">D55*(1-$C$7)</f>
        <v>49.41</v>
      </c>
      <c r="K55" s="11" t="n">
        <f aca="false">J55-C55-J55*$C$4-(J55*$C$5+$C$6)</f>
        <v>29.30201</v>
      </c>
    </row>
    <row r="56" customFormat="false" ht="15" hidden="false" customHeight="true" outlineLevel="0" collapsed="false">
      <c r="A56" s="9" t="s">
        <v>70</v>
      </c>
      <c r="B56" s="9" t="s">
        <v>71</v>
      </c>
      <c r="C56" s="10" t="n">
        <v>6.17</v>
      </c>
      <c r="D56" s="10" t="n">
        <v>27.9</v>
      </c>
      <c r="E56" s="11" t="n">
        <f aca="false">D56-C56</f>
        <v>21.73</v>
      </c>
      <c r="F56" s="11" t="n">
        <f aca="false">D56*$C$4</f>
        <v>3.4596</v>
      </c>
      <c r="G56" s="11" t="n">
        <f aca="false">D56*$C$5+$C$6</f>
        <v>0.6685</v>
      </c>
      <c r="H56" s="12" t="n">
        <f aca="false">D56-C56-F56-G56</f>
        <v>17.6019</v>
      </c>
      <c r="I56" s="13" t="n">
        <f aca="false">IF(D56=0,0,H56/D56)</f>
        <v>0.630892473118279</v>
      </c>
      <c r="J56" s="11" t="n">
        <f aca="false">D56*(1-$C$7)</f>
        <v>25.11</v>
      </c>
      <c r="K56" s="11" t="n">
        <f aca="false">J56-C56-J56*$C$4-(J56*$C$5+$C$6)</f>
        <v>15.19971</v>
      </c>
    </row>
    <row r="57" customFormat="false" ht="15" hidden="false" customHeight="true" outlineLevel="0" collapsed="false">
      <c r="A57" s="9" t="s">
        <v>72</v>
      </c>
      <c r="B57" s="9" t="s">
        <v>71</v>
      </c>
      <c r="C57" s="10" t="n">
        <v>6.17</v>
      </c>
      <c r="D57" s="10" t="n">
        <v>27.9</v>
      </c>
      <c r="E57" s="11" t="n">
        <f aca="false">D57-C57</f>
        <v>21.73</v>
      </c>
      <c r="F57" s="11" t="n">
        <f aca="false">D57*$C$4</f>
        <v>3.4596</v>
      </c>
      <c r="G57" s="11" t="n">
        <f aca="false">D57*$C$5+$C$6</f>
        <v>0.6685</v>
      </c>
      <c r="H57" s="12" t="n">
        <f aca="false">D57-C57-F57-G57</f>
        <v>17.6019</v>
      </c>
      <c r="I57" s="13" t="n">
        <f aca="false">IF(D57=0,0,H57/D57)</f>
        <v>0.630892473118279</v>
      </c>
      <c r="J57" s="11" t="n">
        <f aca="false">D57*(1-$C$7)</f>
        <v>25.11</v>
      </c>
      <c r="K57" s="11" t="n">
        <f aca="false">J57-C57-J57*$C$4-(J57*$C$5+$C$6)</f>
        <v>15.19971</v>
      </c>
    </row>
    <row r="58" customFormat="false" ht="15" hidden="false" customHeight="true" outlineLevel="0" collapsed="false">
      <c r="A58" s="9" t="s">
        <v>73</v>
      </c>
      <c r="B58" s="9" t="s">
        <v>71</v>
      </c>
      <c r="C58" s="10" t="n">
        <v>6.17</v>
      </c>
      <c r="D58" s="10" t="n">
        <v>27.9</v>
      </c>
      <c r="E58" s="11" t="n">
        <f aca="false">D58-C58</f>
        <v>21.73</v>
      </c>
      <c r="F58" s="11" t="n">
        <f aca="false">D58*$C$4</f>
        <v>3.4596</v>
      </c>
      <c r="G58" s="11" t="n">
        <f aca="false">D58*$C$5+$C$6</f>
        <v>0.6685</v>
      </c>
      <c r="H58" s="12" t="n">
        <f aca="false">D58-C58-F58-G58</f>
        <v>17.6019</v>
      </c>
      <c r="I58" s="13" t="n">
        <f aca="false">IF(D58=0,0,H58/D58)</f>
        <v>0.630892473118279</v>
      </c>
      <c r="J58" s="11" t="n">
        <f aca="false">D58*(1-$C$7)</f>
        <v>25.11</v>
      </c>
      <c r="K58" s="11" t="n">
        <f aca="false">J58-C58-J58*$C$4-(J58*$C$5+$C$6)</f>
        <v>15.19971</v>
      </c>
    </row>
    <row r="59" customFormat="false" ht="15" hidden="false" customHeight="true" outlineLevel="0" collapsed="false">
      <c r="A59" s="9" t="s">
        <v>74</v>
      </c>
      <c r="B59" s="9" t="s">
        <v>71</v>
      </c>
      <c r="C59" s="10" t="n">
        <v>6.17</v>
      </c>
      <c r="D59" s="10" t="n">
        <v>27.9</v>
      </c>
      <c r="E59" s="11" t="n">
        <f aca="false">D59-C59</f>
        <v>21.73</v>
      </c>
      <c r="F59" s="11" t="n">
        <f aca="false">D59*$C$4</f>
        <v>3.4596</v>
      </c>
      <c r="G59" s="11" t="n">
        <f aca="false">D59*$C$5+$C$6</f>
        <v>0.6685</v>
      </c>
      <c r="H59" s="12" t="n">
        <f aca="false">D59-C59-F59-G59</f>
        <v>17.6019</v>
      </c>
      <c r="I59" s="13" t="n">
        <f aca="false">IF(D59=0,0,H59/D59)</f>
        <v>0.630892473118279</v>
      </c>
      <c r="J59" s="11" t="n">
        <f aca="false">D59*(1-$C$7)</f>
        <v>25.11</v>
      </c>
      <c r="K59" s="11" t="n">
        <f aca="false">J59-C59-J59*$C$4-(J59*$C$5+$C$6)</f>
        <v>15.19971</v>
      </c>
    </row>
    <row r="61" customFormat="false" ht="15" hidden="false" customHeight="true" outlineLevel="0" collapsed="false">
      <c r="A61" s="14" t="s">
        <v>75</v>
      </c>
      <c r="B61" s="15"/>
      <c r="C61" s="16" t="n">
        <f aca="false">AVERAGE(C10:C59)</f>
        <v>5.766</v>
      </c>
      <c r="D61" s="16" t="n">
        <f aca="false">AVERAGE(D10:D59)</f>
        <v>29.3</v>
      </c>
      <c r="E61" s="16" t="n">
        <f aca="false">AVERAGE(E10:E59)</f>
        <v>23.534</v>
      </c>
      <c r="F61" s="16" t="n">
        <f aca="false">AVERAGE(F10:F59)</f>
        <v>3.6332</v>
      </c>
      <c r="G61" s="16" t="n">
        <f aca="false">AVERAGE(G10:G59)</f>
        <v>0.6895</v>
      </c>
      <c r="H61" s="16" t="n">
        <f aca="false">AVERAGE(H10:H59)</f>
        <v>19.2113</v>
      </c>
      <c r="I61" s="17" t="n">
        <f aca="false">AVERAGE(I10:I59)</f>
        <v>0.655075586729301</v>
      </c>
      <c r="J61" s="16" t="n">
        <f aca="false">AVERAGE(J10:J59)</f>
        <v>26.37</v>
      </c>
      <c r="K61" s="16" t="n">
        <f aca="false">AVERAGE(K10:K59)</f>
        <v>16.68857</v>
      </c>
    </row>
    <row r="62" customFormat="false" ht="15" hidden="false" customHeight="true" outlineLevel="0" collapsed="false">
      <c r="A62" s="4" t="s">
        <v>76</v>
      </c>
      <c r="H62" s="18" t="n">
        <f aca="false">MIN(H10:H59)</f>
        <v>14.5979</v>
      </c>
      <c r="K62" s="18" t="n">
        <f aca="false">MIN(K10:K59)</f>
        <v>12.54011</v>
      </c>
    </row>
    <row r="64" customFormat="false" ht="15" hidden="false" customHeight="true" outlineLevel="0" collapsed="false">
      <c r="A64" s="4" t="s">
        <v>77</v>
      </c>
    </row>
    <row r="65" customFormat="false" ht="15" hidden="false" customHeight="true" outlineLevel="0" collapsed="false">
      <c r="A65" s="19" t="s">
        <v>78</v>
      </c>
    </row>
    <row r="66" customFormat="false" ht="15" hidden="false" customHeight="true" outlineLevel="0" collapsed="false">
      <c r="A66" s="19" t="s">
        <v>79</v>
      </c>
    </row>
    <row r="67" customFormat="false" ht="15" hidden="false" customHeight="true" outlineLevel="0" collapsed="false">
      <c r="A67" s="19" t="s">
        <v>80</v>
      </c>
    </row>
    <row r="68" customFormat="false" ht="15" hidden="false" customHeight="true" outlineLevel="0" collapsed="false">
      <c r="A68" s="19" t="s">
        <v>81</v>
      </c>
    </row>
    <row r="69" customFormat="false" ht="15" hidden="false" customHeight="true" outlineLevel="0" collapsed="false">
      <c r="A69" s="19" t="s">
        <v>82</v>
      </c>
    </row>
  </sheetData>
  <autoFilter ref="A9:K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2026-10-29T18:37:37Z</dcterms:created>
  <dc:creator>openpyxl</dc:creator>
  <dc:description/>
  <dc:language>en-US</dc:language>
  <cp:lastModifiedBy/>
  <dcterms:modified xsi:type="dcterms:W3CDTF">2026-10-29T18:41:04Z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